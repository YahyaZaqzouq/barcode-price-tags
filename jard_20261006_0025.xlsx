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تفاصيل" sheetId="2" state="visible" r:id="rId2"/>
    <sheet name="باركود غير معرّف" sheetId="3" state="visible" r:id="rId3"/>
    <sheet name="سجل المسح" sheetId="4" state="visible" r:id="rId4"/>
  </sheets>
  <definedNames>
    <definedName name="_xlnm._FilterDatabase" localSheetId="1" hidden="1">'التفاصيل'!$A$1:$N$1606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;-#,##0.###;0"/>
    <numFmt numFmtId="165" formatCode="#,##0.00;-#,##0.00;&quot;-&quot;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5FA8"/>
      <sz val="15"/>
    </font>
    <font>
      <name val="Arial"/>
      <b val="1"/>
      <sz val="10"/>
    </font>
    <font>
      <name val="Arial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5FA8"/>
      </patternFill>
    </fill>
    <fill>
      <patternFill patternType="solid">
        <fgColor rgb="00F9D9A8"/>
      </patternFill>
    </fill>
    <fill>
      <patternFill patternType="solid">
        <fgColor rgb="00F3E2C3"/>
      </patternFill>
    </fill>
    <fill>
      <patternFill patternType="solid">
        <fgColor rgb="00D5ECE3"/>
      </patternFill>
    </fill>
  </fills>
  <borders count="2">
    <border>
      <left/>
      <right/>
      <top/>
      <bottom/>
      <diagonal/>
    </border>
    <border>
      <left style="thin">
        <color rgb="00C9D3D1"/>
      </left>
      <right style="thin">
        <color rgb="00C9D3D1"/>
      </right>
      <top style="thin">
        <color rgb="00C9D3D1"/>
      </top>
      <bottom style="thin">
        <color rgb="00C9D3D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1" t="inlineStr">
        <is>
          <t>تقرير جرد - PH29 - Moaz Pharmacy 29</t>
        </is>
      </c>
    </row>
    <row r="3">
      <c r="A3" s="2" t="inlineStr">
        <is>
          <t>اسم الجرد</t>
        </is>
      </c>
      <c r="B3" s="3" t="inlineStr">
        <is>
          <t>جرد ٦ أكتوبر ٢٠٢٦ دواء</t>
        </is>
      </c>
    </row>
    <row r="4">
      <c r="A4" s="2" t="inlineStr">
        <is>
          <t>نوع الجرد</t>
        </is>
      </c>
      <c r="B4" s="3" t="inlineStr">
        <is>
          <t>حسب التصنيف</t>
        </is>
      </c>
    </row>
    <row r="5">
      <c r="A5" s="2" t="inlineStr">
        <is>
          <t>التصنيفات</t>
        </is>
      </c>
      <c r="B5" s="3" t="inlineStr">
        <is>
          <t>دواء</t>
        </is>
      </c>
    </row>
    <row r="6">
      <c r="A6" s="2" t="inlineStr">
        <is>
          <t>الموردين</t>
        </is>
      </c>
      <c r="B6" s="3" t="inlineStr">
        <is>
          <t>-</t>
        </is>
      </c>
    </row>
    <row r="7">
      <c r="A7" s="2" t="inlineStr">
        <is>
          <t>بداية الجرد</t>
        </is>
      </c>
      <c r="B7" s="3" t="inlineStr">
        <is>
          <t>2026-10-06 03:17</t>
        </is>
      </c>
    </row>
    <row r="8">
      <c r="A8" s="2" t="inlineStr">
        <is>
          <t>حالة التقرير</t>
        </is>
      </c>
      <c r="B8" s="3" t="inlineStr">
        <is>
          <t>نهائي - اتقفل 2026-10-06 03:25</t>
        </is>
      </c>
    </row>
    <row r="10">
      <c r="A10" s="4" t="inlineStr">
        <is>
          <t>البند</t>
        </is>
      </c>
      <c r="B10" s="4" t="inlineStr">
        <is>
          <t>عدد الأصناف</t>
        </is>
      </c>
      <c r="C10" s="4" t="inlineStr">
        <is>
          <t>القيمة بسعر البيع</t>
        </is>
      </c>
    </row>
    <row r="11">
      <c r="A11" s="5" t="inlineStr">
        <is>
          <t>يحتاج إعادة عد</t>
        </is>
      </c>
      <c r="B11" s="6">
        <f>COUNTIF('التفاصيل'!$J$2:$J$1606,"يحتاج إعادة عد")</f>
        <v/>
      </c>
      <c r="C11" s="7">
        <f>SUMIF('التفاصيل'!$J$2:$J$1606,"يحتاج إعادة عد",'التفاصيل'!$I$2:$I$1606)</f>
        <v/>
      </c>
    </row>
    <row r="12">
      <c r="A12" s="5" t="inlineStr">
        <is>
          <t>مطابق</t>
        </is>
      </c>
      <c r="B12" s="6">
        <f>COUNTIF('التفاصيل'!$J$2:$J$1606,"مطابق")</f>
        <v/>
      </c>
      <c r="C12" s="7" t="inlineStr">
        <is>
          <t>-</t>
        </is>
      </c>
    </row>
    <row r="13">
      <c r="A13" s="5" t="inlineStr">
        <is>
          <t>عجز</t>
        </is>
      </c>
      <c r="B13" s="6">
        <f>COUNTIF('التفاصيل'!$J$2:$J$1606,"عجز")</f>
        <v/>
      </c>
      <c r="C13" s="7">
        <f>SUMIF('التفاصيل'!$J$2:$J$1606,"عجز",'التفاصيل'!$I$2:$I$1606)</f>
        <v/>
      </c>
    </row>
    <row r="14">
      <c r="A14" s="5" t="inlineStr">
        <is>
          <t>لم يُجرد (موجود بالنظام ومتلقاش)</t>
        </is>
      </c>
      <c r="B14" s="6">
        <f>COUNTIF('التفاصيل'!$J$2:$J$1606,"لم يُجرد")</f>
        <v/>
      </c>
      <c r="C14" s="7">
        <f>SUMIF('التفاصيل'!$J$2:$J$1606,"لم يُجرد",'التفاصيل'!$I$2:$I$1606)</f>
        <v/>
      </c>
    </row>
    <row r="15">
      <c r="A15" s="5" t="inlineStr">
        <is>
          <t>زيادة</t>
        </is>
      </c>
      <c r="B15" s="6">
        <f>COUNTIF('التفاصيل'!$J$2:$J$1606,"زيادة")</f>
        <v/>
      </c>
      <c r="C15" s="7">
        <f>SUMIF('التفاصيل'!$J$2:$J$1606,"زيادة",'التفاصيل'!$I$2:$I$1606)</f>
        <v/>
      </c>
    </row>
    <row r="16">
      <c r="A16" s="5" t="inlineStr">
        <is>
          <t>رصيد سالب بالنظام</t>
        </is>
      </c>
      <c r="B16" s="6">
        <f>COUNTIF('التفاصيل'!$J$2:$J$1606,"رصيد سالب بالنظام")</f>
        <v/>
      </c>
      <c r="C16" s="7">
        <f>SUMIF('التفاصيل'!$J$2:$J$1606,"رصيد سالب بالنظام",'التفاصيل'!$I$2:$I$1606)</f>
        <v/>
      </c>
    </row>
    <row r="17">
      <c r="A17" s="8" t="inlineStr">
        <is>
          <t>الإجمالي (القيمة = صافي الفرق من غير أصناف إعادة العد)</t>
        </is>
      </c>
      <c r="B17" s="9">
        <f>SUM(B11:B16)</f>
        <v/>
      </c>
      <c r="C17" s="10">
        <f>SUM('التفاصيل'!$I$2:$I$1606)-SUMIF('التفاصيل'!$J$2:$J$1606,"يحتاج إعادة عد",'التفاصيل'!$I$2:$I$1606)</f>
        <v/>
      </c>
    </row>
    <row r="18">
      <c r="A18" s="2" t="inlineStr">
        <is>
          <t>نسبة المطابقة</t>
        </is>
      </c>
      <c r="B18" s="11">
        <f>IF(B17=0,0,B12/B17)</f>
        <v/>
      </c>
    </row>
    <row r="20" ht="48" customHeight="1">
      <c r="A20" s="12" t="inlineStr">
        <is>
          <t>ملاحظة: الدفتري وقت العد = رصيد جوليب الآن − صافي حركة المخزون بعد العد (مبيعات، مرتجعات، تحويلات، استلام، تسويات). "يحتاج إعادة عد" = الصنف اتحرك في جوليب بين أول وآخر مسحة ليه، ومش معروف الحركة كانت من مكان اتعد ولا لأ.</t>
        </is>
      </c>
    </row>
  </sheetData>
  <mergeCells count="1"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16" customWidth="1" min="4" max="4"/>
    <col width="14" customWidth="1" min="5" max="5"/>
    <col width="13" customWidth="1" min="6" max="6"/>
    <col width="11" customWidth="1" min="7" max="7"/>
    <col width="12" customWidth="1" min="8" max="8"/>
    <col width="17" customWidth="1" min="9" max="9"/>
    <col width="16" customWidth="1" min="10" max="10"/>
    <col width="17" customWidth="1" min="11" max="11"/>
    <col width="14" customWidth="1" min="12" max="12"/>
    <col width="34" customWidth="1" min="13" max="13"/>
    <col width="18" customWidth="1" min="14" max="14"/>
  </cols>
  <sheetData>
    <row r="1" ht="30" customHeight="1">
      <c r="A1" s="4" t="inlineStr">
        <is>
          <t>الكود</t>
        </is>
      </c>
      <c r="B1" s="4" t="inlineStr">
        <is>
          <t>الصنف</t>
        </is>
      </c>
      <c r="C1" s="4" t="inlineStr">
        <is>
          <t>التصنيف</t>
        </is>
      </c>
      <c r="D1" s="4" t="inlineStr">
        <is>
          <t>الباركود</t>
        </is>
      </c>
      <c r="E1" s="4" t="inlineStr">
        <is>
          <t>الدفتري وقت العد</t>
        </is>
      </c>
      <c r="F1" s="4" t="inlineStr">
        <is>
          <t>الكمية الفعلية</t>
        </is>
      </c>
      <c r="G1" s="4" t="inlineStr">
        <is>
          <t>الفرق</t>
        </is>
      </c>
      <c r="H1" s="4" t="inlineStr">
        <is>
          <t>سعر البيع</t>
        </is>
      </c>
      <c r="I1" s="4" t="inlineStr">
        <is>
          <t>قيمة الفرق بسعر البيع</t>
        </is>
      </c>
      <c r="J1" s="4" t="inlineStr">
        <is>
          <t>الحالة</t>
        </is>
      </c>
      <c r="K1" s="4" t="inlineStr">
        <is>
          <t>صافي حركة المخزون بعد العد</t>
        </is>
      </c>
      <c r="L1" s="4" t="inlineStr">
        <is>
          <t>رصيد جوليب الآن</t>
        </is>
      </c>
      <c r="M1" s="4" t="inlineStr">
        <is>
          <t>تفاصيل الحركة</t>
        </is>
      </c>
      <c r="N1" s="4" t="inlineStr">
        <is>
          <t>المواقع</t>
        </is>
      </c>
    </row>
    <row r="2">
      <c r="A2" s="13" t="inlineStr">
        <is>
          <t>0003663</t>
        </is>
      </c>
      <c r="B2" s="5" t="inlineStr">
        <is>
          <t>[0003663] FLUDREX 24 TAB</t>
        </is>
      </c>
      <c r="C2" s="5" t="inlineStr">
        <is>
          <t>دواء</t>
        </is>
      </c>
      <c r="D2" s="13" t="inlineStr">
        <is>
          <t>062850850015601723</t>
        </is>
      </c>
      <c r="E2" s="14">
        <f>L2-K2</f>
        <v/>
      </c>
      <c r="F2" s="14" t="n">
        <v>132</v>
      </c>
      <c r="G2" s="14">
        <f>F2-E2</f>
        <v/>
      </c>
      <c r="H2" s="7" t="n">
        <v>12.3</v>
      </c>
      <c r="I2" s="7">
        <f>G2*H2</f>
        <v/>
      </c>
      <c r="J2" s="15" t="inlineStr">
        <is>
          <t>يحتاج إعادة عد</t>
        </is>
      </c>
      <c r="K2" s="14" t="n">
        <v>-1</v>
      </c>
      <c r="L2" s="14" t="n">
        <v>132</v>
      </c>
      <c r="M2" s="5" t="inlineStr">
        <is>
          <t>أثناء عد الصنف (مش معروف من أنهي مكان): مبيعات −1</t>
        </is>
      </c>
      <c r="N2" s="5" t="inlineStr">
        <is>
          <t>رف 4</t>
        </is>
      </c>
    </row>
    <row r="3">
      <c r="A3" s="13" t="inlineStr">
        <is>
          <t>0003369</t>
        </is>
      </c>
      <c r="B3" s="5" t="inlineStr">
        <is>
          <t>[0003369] KLAVOX 1GM TAB 14 TAB</t>
        </is>
      </c>
      <c r="C3" s="5" t="inlineStr">
        <is>
          <t>دواء</t>
        </is>
      </c>
      <c r="D3" s="13" t="inlineStr">
        <is>
          <t>06281086011508</t>
        </is>
      </c>
      <c r="E3" s="14">
        <f>L3-K3</f>
        <v/>
      </c>
      <c r="F3" s="14" t="n">
        <v>0</v>
      </c>
      <c r="G3" s="14">
        <f>F3-E3</f>
        <v/>
      </c>
      <c r="H3" s="7" t="n">
        <v>70.65000000000001</v>
      </c>
      <c r="I3" s="7">
        <f>G3*H3</f>
        <v/>
      </c>
      <c r="J3" s="16" t="inlineStr">
        <is>
          <t>لم يُجرد</t>
        </is>
      </c>
      <c r="K3" s="14" t="n">
        <v>0</v>
      </c>
      <c r="L3" s="14" t="n">
        <v>171.5</v>
      </c>
      <c r="M3" s="5" t="inlineStr"/>
      <c r="N3" s="5" t="inlineStr"/>
    </row>
    <row r="4">
      <c r="A4" s="13" t="inlineStr">
        <is>
          <t>00022817</t>
        </is>
      </c>
      <c r="B4" s="5" t="inlineStr">
        <is>
          <t>[00022817] AVALON SALINOSE PLUS JET  N. SPRAY 75 ML WASFA</t>
        </is>
      </c>
      <c r="C4" s="5" t="inlineStr">
        <is>
          <t>دواء</t>
        </is>
      </c>
      <c r="D4" s="13" t="inlineStr">
        <is>
          <t>6285095009747</t>
        </is>
      </c>
      <c r="E4" s="14">
        <f>L4-K4</f>
        <v/>
      </c>
      <c r="F4" s="14" t="n">
        <v>0</v>
      </c>
      <c r="G4" s="14">
        <f>F4-E4</f>
        <v/>
      </c>
      <c r="H4" s="7" t="n">
        <v>55</v>
      </c>
      <c r="I4" s="7">
        <f>G4*H4</f>
        <v/>
      </c>
      <c r="J4" s="16" t="inlineStr">
        <is>
          <t>لم يُجرد</t>
        </is>
      </c>
      <c r="K4" s="14" t="n">
        <v>0</v>
      </c>
      <c r="L4" s="14" t="n">
        <v>227</v>
      </c>
      <c r="M4" s="5" t="inlineStr"/>
      <c r="N4" s="5" t="inlineStr"/>
    </row>
    <row r="5">
      <c r="A5" s="13" t="inlineStr">
        <is>
          <t>0003444</t>
        </is>
      </c>
      <c r="B5" s="5" t="inlineStr">
        <is>
          <t>[0003444] HYMOX 500MG 20 CAPS</t>
        </is>
      </c>
      <c r="C5" s="5" t="inlineStr">
        <is>
          <t>دواء</t>
        </is>
      </c>
      <c r="D5" s="13" t="inlineStr"/>
      <c r="E5" s="14">
        <f>L5-K5</f>
        <v/>
      </c>
      <c r="F5" s="14" t="n">
        <v>0</v>
      </c>
      <c r="G5" s="14">
        <f>F5-E5</f>
        <v/>
      </c>
      <c r="H5" s="7" t="n">
        <v>40.4</v>
      </c>
      <c r="I5" s="7">
        <f>G5*H5</f>
        <v/>
      </c>
      <c r="J5" s="16" t="inlineStr">
        <is>
          <t>لم يُجرد</t>
        </is>
      </c>
      <c r="K5" s="14" t="n">
        <v>0</v>
      </c>
      <c r="L5" s="14" t="n">
        <v>129.5</v>
      </c>
      <c r="M5" s="5" t="inlineStr"/>
      <c r="N5" s="5" t="inlineStr"/>
    </row>
    <row r="6">
      <c r="A6" s="13" t="inlineStr">
        <is>
          <t>0004413</t>
        </is>
      </c>
      <c r="B6" s="5" t="inlineStr">
        <is>
          <t>[0004413] ACILOC 20MG 14CAP WASFA</t>
        </is>
      </c>
      <c r="C6" s="5" t="inlineStr">
        <is>
          <t>دواء</t>
        </is>
      </c>
      <c r="D6" s="13" t="inlineStr">
        <is>
          <t>06285128017503</t>
        </is>
      </c>
      <c r="E6" s="14">
        <f>L6-K6</f>
        <v/>
      </c>
      <c r="F6" s="14" t="n">
        <v>0</v>
      </c>
      <c r="G6" s="14">
        <f>F6-E6</f>
        <v/>
      </c>
      <c r="H6" s="7" t="n">
        <v>45.95</v>
      </c>
      <c r="I6" s="7">
        <f>G6*H6</f>
        <v/>
      </c>
      <c r="J6" s="16" t="inlineStr">
        <is>
          <t>لم يُجرد</t>
        </is>
      </c>
      <c r="K6" s="14" t="n">
        <v>0</v>
      </c>
      <c r="L6" s="14" t="n">
        <v>218</v>
      </c>
      <c r="M6" s="5" t="inlineStr"/>
      <c r="N6" s="5" t="inlineStr"/>
    </row>
    <row r="7">
      <c r="A7" s="13" t="inlineStr">
        <is>
          <t>0005677</t>
        </is>
      </c>
      <c r="B7" s="5" t="inlineStr">
        <is>
          <t>[0005677] MEGAMOX 625 MG 20 TAB</t>
        </is>
      </c>
      <c r="C7" s="5" t="inlineStr">
        <is>
          <t>دواء</t>
        </is>
      </c>
      <c r="D7" s="13" t="inlineStr">
        <is>
          <t>06285101000683</t>
        </is>
      </c>
      <c r="E7" s="14">
        <f>L7-K7</f>
        <v/>
      </c>
      <c r="F7" s="14" t="n">
        <v>0</v>
      </c>
      <c r="G7" s="14">
        <f>F7-E7</f>
        <v/>
      </c>
      <c r="H7" s="7" t="n">
        <v>57.4</v>
      </c>
      <c r="I7" s="7">
        <f>G7*H7</f>
        <v/>
      </c>
      <c r="J7" s="16" t="inlineStr">
        <is>
          <t>لم يُجرد</t>
        </is>
      </c>
      <c r="K7" s="14" t="n">
        <v>0</v>
      </c>
      <c r="L7" s="14" t="n">
        <v>90</v>
      </c>
      <c r="M7" s="5" t="inlineStr"/>
      <c r="N7" s="5" t="inlineStr"/>
    </row>
    <row r="8">
      <c r="A8" s="13" t="inlineStr">
        <is>
          <t>0005054</t>
        </is>
      </c>
      <c r="B8" s="5" t="inlineStr">
        <is>
          <t>[0005054] ROFENAC D 50 MG 20 TAB</t>
        </is>
      </c>
      <c r="C8" s="5" t="inlineStr">
        <is>
          <t>دواء</t>
        </is>
      </c>
      <c r="D8" s="13" t="inlineStr">
        <is>
          <t>06281086010457</t>
        </is>
      </c>
      <c r="E8" s="14">
        <f>L8-K8</f>
        <v/>
      </c>
      <c r="F8" s="14" t="n">
        <v>0</v>
      </c>
      <c r="G8" s="14">
        <f>F8-E8</f>
        <v/>
      </c>
      <c r="H8" s="7" t="n">
        <v>29.55</v>
      </c>
      <c r="I8" s="7">
        <f>G8*H8</f>
        <v/>
      </c>
      <c r="J8" s="16" t="inlineStr">
        <is>
          <t>لم يُجرد</t>
        </is>
      </c>
      <c r="K8" s="14" t="n">
        <v>0</v>
      </c>
      <c r="L8" s="14" t="n">
        <v>163.25</v>
      </c>
      <c r="M8" s="5" t="inlineStr"/>
      <c r="N8" s="5" t="inlineStr"/>
    </row>
    <row r="9">
      <c r="A9" s="13" t="inlineStr">
        <is>
          <t>00021703</t>
        </is>
      </c>
      <c r="B9" s="5" t="inlineStr">
        <is>
          <t>[00021703] FUSIBACT B CREAM 30 GRAM WASFA</t>
        </is>
      </c>
      <c r="C9" s="5" t="inlineStr">
        <is>
          <t>دواء</t>
        </is>
      </c>
      <c r="D9" s="13" t="inlineStr">
        <is>
          <t>06285128018005</t>
        </is>
      </c>
      <c r="E9" s="14">
        <f>L9-K9</f>
        <v/>
      </c>
      <c r="F9" s="14" t="n">
        <v>0</v>
      </c>
      <c r="G9" s="14">
        <f>F9-E9</f>
        <v/>
      </c>
      <c r="H9" s="7" t="n">
        <v>25.8</v>
      </c>
      <c r="I9" s="7">
        <f>G9*H9</f>
        <v/>
      </c>
      <c r="J9" s="16" t="inlineStr">
        <is>
          <t>لم يُجرد</t>
        </is>
      </c>
      <c r="K9" s="14" t="n">
        <v>0</v>
      </c>
      <c r="L9" s="14" t="n">
        <v>238</v>
      </c>
      <c r="M9" s="5" t="inlineStr"/>
      <c r="N9" s="5" t="inlineStr"/>
    </row>
    <row r="10">
      <c r="A10" s="13" t="inlineStr">
        <is>
          <t>00021654</t>
        </is>
      </c>
      <c r="B10" s="5" t="inlineStr">
        <is>
          <t>[00021654] JP OMEGA3 1000MG 60CAP</t>
        </is>
      </c>
      <c r="C10" s="5" t="inlineStr">
        <is>
          <t>دواء</t>
        </is>
      </c>
      <c r="D10" s="13" t="inlineStr">
        <is>
          <t>06285128015714</t>
        </is>
      </c>
      <c r="E10" s="14">
        <f>L10-K10</f>
        <v/>
      </c>
      <c r="F10" s="14" t="n">
        <v>0</v>
      </c>
      <c r="G10" s="14">
        <f>F10-E10</f>
        <v/>
      </c>
      <c r="H10" s="7" t="n">
        <v>160</v>
      </c>
      <c r="I10" s="7">
        <f>G10*H10</f>
        <v/>
      </c>
      <c r="J10" s="16" t="inlineStr">
        <is>
          <t>لم يُجرد</t>
        </is>
      </c>
      <c r="K10" s="14" t="n">
        <v>0</v>
      </c>
      <c r="L10" s="14" t="n">
        <v>28</v>
      </c>
      <c r="M10" s="5" t="inlineStr"/>
      <c r="N10" s="5" t="inlineStr"/>
    </row>
    <row r="11">
      <c r="A11" s="13" t="inlineStr">
        <is>
          <t>0003483</t>
        </is>
      </c>
      <c r="B11" s="5" t="inlineStr">
        <is>
          <t>[0003483] HIQUIN 4% CREAM WASFA</t>
        </is>
      </c>
      <c r="C11" s="5" t="inlineStr">
        <is>
          <t>دواء</t>
        </is>
      </c>
      <c r="D11" s="13" t="inlineStr">
        <is>
          <t>06285128000482</t>
        </is>
      </c>
      <c r="E11" s="14">
        <f>L11-K11</f>
        <v/>
      </c>
      <c r="F11" s="14" t="n">
        <v>0</v>
      </c>
      <c r="G11" s="14">
        <f>F11-E11</f>
        <v/>
      </c>
      <c r="H11" s="7" t="n">
        <v>29.25</v>
      </c>
      <c r="I11" s="7">
        <f>G11*H11</f>
        <v/>
      </c>
      <c r="J11" s="16" t="inlineStr">
        <is>
          <t>لم يُجرد</t>
        </is>
      </c>
      <c r="K11" s="14" t="n">
        <v>0</v>
      </c>
      <c r="L11" s="14" t="n">
        <v>155</v>
      </c>
      <c r="M11" s="5" t="inlineStr"/>
      <c r="N11" s="5" t="inlineStr"/>
    </row>
    <row r="12">
      <c r="A12" s="13" t="inlineStr">
        <is>
          <t>0004050</t>
        </is>
      </c>
      <c r="B12" s="5" t="inlineStr">
        <is>
          <t>[0004050] ELICA M CREAM 30GM WASFA</t>
        </is>
      </c>
      <c r="C12" s="5" t="inlineStr">
        <is>
          <t>دواء</t>
        </is>
      </c>
      <c r="D12" s="13" t="inlineStr">
        <is>
          <t>67021207260700</t>
        </is>
      </c>
      <c r="E12" s="14">
        <f>L12-K12</f>
        <v/>
      </c>
      <c r="F12" s="14" t="n">
        <v>0</v>
      </c>
      <c r="G12" s="14">
        <f>F12-E12</f>
        <v/>
      </c>
      <c r="H12" s="7" t="n">
        <v>30.35</v>
      </c>
      <c r="I12" s="7">
        <f>G12*H12</f>
        <v/>
      </c>
      <c r="J12" s="16" t="inlineStr">
        <is>
          <t>لم يُجرد</t>
        </is>
      </c>
      <c r="K12" s="14" t="n">
        <v>0</v>
      </c>
      <c r="L12" s="14" t="n">
        <v>248</v>
      </c>
      <c r="M12" s="5" t="inlineStr"/>
      <c r="N12" s="5" t="inlineStr"/>
    </row>
    <row r="13">
      <c r="A13" s="13" t="inlineStr">
        <is>
          <t>0003862</t>
        </is>
      </c>
      <c r="B13" s="5" t="inlineStr">
        <is>
          <t>[0003862] EVRA TRANSDERMAL 3 PATCHES</t>
        </is>
      </c>
      <c r="C13" s="5" t="inlineStr">
        <is>
          <t>دواء</t>
        </is>
      </c>
      <c r="D13" s="13" t="inlineStr">
        <is>
          <t>05997001375204</t>
        </is>
      </c>
      <c r="E13" s="14">
        <f>L13-K13</f>
        <v/>
      </c>
      <c r="F13" s="14" t="n">
        <v>0</v>
      </c>
      <c r="G13" s="14">
        <f>F13-E13</f>
        <v/>
      </c>
      <c r="H13" s="7" t="n">
        <v>37.25</v>
      </c>
      <c r="I13" s="7">
        <f>G13*H13</f>
        <v/>
      </c>
      <c r="J13" s="16" t="inlineStr">
        <is>
          <t>لم يُجرد</t>
        </is>
      </c>
      <c r="K13" s="14" t="n">
        <v>0</v>
      </c>
      <c r="L13" s="14" t="n">
        <v>97</v>
      </c>
      <c r="M13" s="5" t="inlineStr"/>
      <c r="N13" s="5" t="inlineStr"/>
    </row>
    <row r="14">
      <c r="A14" s="13" t="inlineStr">
        <is>
          <t>00016296</t>
        </is>
      </c>
      <c r="B14" s="5" t="inlineStr">
        <is>
          <t>[00016296] HYFRESH  SUD EYE GEL</t>
        </is>
      </c>
      <c r="C14" s="5" t="inlineStr">
        <is>
          <t>دواء</t>
        </is>
      </c>
      <c r="D14" s="13" t="inlineStr"/>
      <c r="E14" s="14">
        <f>L14-K14</f>
        <v/>
      </c>
      <c r="F14" s="14" t="n">
        <v>0</v>
      </c>
      <c r="G14" s="14">
        <f>F14-E14</f>
        <v/>
      </c>
      <c r="H14" s="7" t="n">
        <v>46.1</v>
      </c>
      <c r="I14" s="7">
        <f>G14*H14</f>
        <v/>
      </c>
      <c r="J14" s="16" t="inlineStr">
        <is>
          <t>لم يُجرد</t>
        </is>
      </c>
      <c r="K14" s="14" t="n">
        <v>0</v>
      </c>
      <c r="L14" s="14" t="n">
        <v>72</v>
      </c>
      <c r="M14" s="5" t="inlineStr"/>
      <c r="N14" s="5" t="inlineStr"/>
    </row>
    <row r="15">
      <c r="A15" s="13" t="inlineStr">
        <is>
          <t>00019041</t>
        </is>
      </c>
      <c r="B15" s="5" t="inlineStr">
        <is>
          <t>[00019041] LORINASE D 2.5/120MG 20TAB</t>
        </is>
      </c>
      <c r="C15" s="5" t="inlineStr">
        <is>
          <t>دواء</t>
        </is>
      </c>
      <c r="D15" s="13" t="inlineStr"/>
      <c r="E15" s="14">
        <f>L15-K15</f>
        <v/>
      </c>
      <c r="F15" s="14" t="n">
        <v>0</v>
      </c>
      <c r="G15" s="14">
        <f>F15-E15</f>
        <v/>
      </c>
      <c r="H15" s="7" t="n">
        <v>24.6</v>
      </c>
      <c r="I15" s="7">
        <f>G15*H15</f>
        <v/>
      </c>
      <c r="J15" s="16" t="inlineStr">
        <is>
          <t>لم يُجرد</t>
        </is>
      </c>
      <c r="K15" s="14" t="n">
        <v>0</v>
      </c>
      <c r="L15" s="14" t="n">
        <v>130</v>
      </c>
      <c r="M15" s="5" t="inlineStr"/>
      <c r="N15" s="5" t="inlineStr"/>
    </row>
    <row r="16">
      <c r="A16" s="13" t="inlineStr">
        <is>
          <t>0004275</t>
        </is>
      </c>
      <c r="B16" s="5" t="inlineStr">
        <is>
          <t>[0004275] CLARA 10MG 10TAB WASFA</t>
        </is>
      </c>
      <c r="C16" s="5" t="inlineStr">
        <is>
          <t>دواء</t>
        </is>
      </c>
      <c r="D16" s="13" t="inlineStr">
        <is>
          <t>06285128000260</t>
        </is>
      </c>
      <c r="E16" s="14">
        <f>L16-K16</f>
        <v/>
      </c>
      <c r="F16" s="14" t="n">
        <v>0</v>
      </c>
      <c r="G16" s="14">
        <f>F16-E16</f>
        <v/>
      </c>
      <c r="H16" s="7" t="n">
        <v>17.65</v>
      </c>
      <c r="I16" s="7">
        <f>G16*H16</f>
        <v/>
      </c>
      <c r="J16" s="16" t="inlineStr">
        <is>
          <t>لم يُجرد</t>
        </is>
      </c>
      <c r="K16" s="14" t="n">
        <v>0</v>
      </c>
      <c r="L16" s="14" t="n">
        <v>177</v>
      </c>
      <c r="M16" s="5" t="inlineStr"/>
      <c r="N16" s="5" t="inlineStr"/>
    </row>
    <row r="17">
      <c r="A17" s="13" t="inlineStr">
        <is>
          <t>00039821</t>
        </is>
      </c>
      <c r="B17" s="5" t="inlineStr">
        <is>
          <t>[00039821] AVOTRENE EMULGEL 100GM</t>
        </is>
      </c>
      <c r="C17" s="5" t="inlineStr">
        <is>
          <t>دواء</t>
        </is>
      </c>
      <c r="D17" s="13" t="inlineStr">
        <is>
          <t>06285095010859</t>
        </is>
      </c>
      <c r="E17" s="14">
        <f>L17-K17</f>
        <v/>
      </c>
      <c r="F17" s="14" t="n">
        <v>0</v>
      </c>
      <c r="G17" s="14">
        <f>F17-E17</f>
        <v/>
      </c>
      <c r="H17" s="7" t="n">
        <v>24.7</v>
      </c>
      <c r="I17" s="7">
        <f>G17*H17</f>
        <v/>
      </c>
      <c r="J17" s="16" t="inlineStr">
        <is>
          <t>لم يُجرد</t>
        </is>
      </c>
      <c r="K17" s="14" t="n">
        <v>0</v>
      </c>
      <c r="L17" s="14" t="n">
        <v>156</v>
      </c>
      <c r="M17" s="5" t="inlineStr"/>
      <c r="N17" s="5" t="inlineStr"/>
    </row>
    <row r="18">
      <c r="A18" s="13" t="inlineStr">
        <is>
          <t>0003374</t>
        </is>
      </c>
      <c r="B18" s="5" t="inlineStr">
        <is>
          <t>[0003374] KLAVOX 625 MG 20 TAB</t>
        </is>
      </c>
      <c r="C18" s="5" t="inlineStr">
        <is>
          <t>دواء</t>
        </is>
      </c>
      <c r="D18" s="13" t="inlineStr">
        <is>
          <t>06281086010754</t>
        </is>
      </c>
      <c r="E18" s="14">
        <f>L18-K18</f>
        <v/>
      </c>
      <c r="F18" s="14" t="n">
        <v>0</v>
      </c>
      <c r="G18" s="14">
        <f>F18-E18</f>
        <v/>
      </c>
      <c r="H18" s="7" t="n">
        <v>57.4</v>
      </c>
      <c r="I18" s="7">
        <f>G18*H18</f>
        <v/>
      </c>
      <c r="J18" s="16" t="inlineStr">
        <is>
          <t>لم يُجرد</t>
        </is>
      </c>
      <c r="K18" s="14" t="n">
        <v>0</v>
      </c>
      <c r="L18" s="14" t="n">
        <v>53</v>
      </c>
      <c r="M18" s="5" t="inlineStr"/>
      <c r="N18" s="5" t="inlineStr"/>
    </row>
    <row r="19">
      <c r="A19" s="13" t="inlineStr">
        <is>
          <t>00020016</t>
        </is>
      </c>
      <c r="B19" s="5" t="inlineStr">
        <is>
          <t>[00020016] JP HEMADID 200MG 120TAB WASFA</t>
        </is>
      </c>
      <c r="C19" s="5" t="inlineStr">
        <is>
          <t>دواء</t>
        </is>
      </c>
      <c r="D19" s="13" t="inlineStr"/>
      <c r="E19" s="14">
        <f>L19-K19</f>
        <v/>
      </c>
      <c r="F19" s="14" t="n">
        <v>0</v>
      </c>
      <c r="G19" s="14">
        <f>F19-E19</f>
        <v/>
      </c>
      <c r="H19" s="7" t="n">
        <v>63.15</v>
      </c>
      <c r="I19" s="7">
        <f>G19*H19</f>
        <v/>
      </c>
      <c r="J19" s="16" t="inlineStr">
        <is>
          <t>لم يُجرد</t>
        </is>
      </c>
      <c r="K19" s="14" t="n">
        <v>0</v>
      </c>
      <c r="L19" s="14" t="n">
        <v>45</v>
      </c>
      <c r="M19" s="5" t="inlineStr"/>
      <c r="N19" s="5" t="inlineStr"/>
    </row>
    <row r="20">
      <c r="A20" s="13" t="inlineStr">
        <is>
          <t>00014706</t>
        </is>
      </c>
      <c r="B20" s="5" t="inlineStr">
        <is>
          <t>[00014706] JAVINO MOIST CREAM 100 GM</t>
        </is>
      </c>
      <c r="C20" s="5" t="inlineStr">
        <is>
          <t>دواء</t>
        </is>
      </c>
      <c r="D20" s="13" t="inlineStr">
        <is>
          <t>06285128002707</t>
        </is>
      </c>
      <c r="E20" s="14">
        <f>L20-K20</f>
        <v/>
      </c>
      <c r="F20" s="14" t="n">
        <v>0</v>
      </c>
      <c r="G20" s="14">
        <f>F20-E20</f>
        <v/>
      </c>
      <c r="H20" s="7" t="n">
        <v>85</v>
      </c>
      <c r="I20" s="7">
        <f>G20*H20</f>
        <v/>
      </c>
      <c r="J20" s="16" t="inlineStr">
        <is>
          <t>لم يُجرد</t>
        </is>
      </c>
      <c r="K20" s="14" t="n">
        <v>0</v>
      </c>
      <c r="L20" s="14" t="n">
        <v>40</v>
      </c>
      <c r="M20" s="5" t="inlineStr"/>
      <c r="N20" s="5" t="inlineStr"/>
    </row>
    <row r="21">
      <c r="A21" s="13" t="inlineStr">
        <is>
          <t>0003863</t>
        </is>
      </c>
      <c r="B21" s="5" t="inlineStr">
        <is>
          <t>[0003863] ERECTA 100MG F.C TAB</t>
        </is>
      </c>
      <c r="C21" s="5" t="inlineStr">
        <is>
          <t>دواء</t>
        </is>
      </c>
      <c r="D21" s="13" t="inlineStr">
        <is>
          <t>06285128001021</t>
        </is>
      </c>
      <c r="E21" s="14">
        <f>L21-K21</f>
        <v/>
      </c>
      <c r="F21" s="14" t="n">
        <v>0</v>
      </c>
      <c r="G21" s="14">
        <f>F21-E21</f>
        <v/>
      </c>
      <c r="H21" s="7" t="n">
        <v>48.55</v>
      </c>
      <c r="I21" s="7">
        <f>G21*H21</f>
        <v/>
      </c>
      <c r="J21" s="16" t="inlineStr">
        <is>
          <t>لم يُجرد</t>
        </is>
      </c>
      <c r="K21" s="14" t="n">
        <v>0</v>
      </c>
      <c r="L21" s="14" t="n">
        <v>76</v>
      </c>
      <c r="M21" s="5" t="inlineStr"/>
      <c r="N21" s="5" t="inlineStr"/>
    </row>
    <row r="22">
      <c r="A22" s="13" t="inlineStr">
        <is>
          <t>0005491</t>
        </is>
      </c>
      <c r="B22" s="5" t="inlineStr">
        <is>
          <t>[0005491] NEORIN 5MG 20 TAB</t>
        </is>
      </c>
      <c r="C22" s="5" t="inlineStr">
        <is>
          <t>دواء</t>
        </is>
      </c>
      <c r="D22" s="13" t="inlineStr">
        <is>
          <t>06281086002513</t>
        </is>
      </c>
      <c r="E22" s="14">
        <f>L22-K22</f>
        <v/>
      </c>
      <c r="F22" s="14" t="n">
        <v>0</v>
      </c>
      <c r="G22" s="14">
        <f>F22-E22</f>
        <v/>
      </c>
      <c r="H22" s="7" t="n">
        <v>25.9</v>
      </c>
      <c r="I22" s="7">
        <f>G22*H22</f>
        <v/>
      </c>
      <c r="J22" s="16" t="inlineStr">
        <is>
          <t>لم يُجرد</t>
        </is>
      </c>
      <c r="K22" s="14" t="n">
        <v>0</v>
      </c>
      <c r="L22" s="14" t="n">
        <v>91.5</v>
      </c>
      <c r="M22" s="5" t="inlineStr"/>
      <c r="N22" s="5" t="inlineStr"/>
    </row>
    <row r="23">
      <c r="A23" s="13" t="inlineStr">
        <is>
          <t>0004805</t>
        </is>
      </c>
      <c r="B23" s="5" t="inlineStr">
        <is>
          <t>[0004805] SNAFI 20 MG 4 TAB</t>
        </is>
      </c>
      <c r="C23" s="5" t="inlineStr">
        <is>
          <t>دواء</t>
        </is>
      </c>
      <c r="D23" s="13" t="inlineStr">
        <is>
          <t>06281086001783</t>
        </is>
      </c>
      <c r="E23" s="14">
        <f>L23-K23</f>
        <v/>
      </c>
      <c r="F23" s="14" t="n">
        <v>0</v>
      </c>
      <c r="G23" s="14">
        <f>F23-E23</f>
        <v/>
      </c>
      <c r="H23" s="7" t="n">
        <v>88.95</v>
      </c>
      <c r="I23" s="7">
        <f>G23*H23</f>
        <v/>
      </c>
      <c r="J23" s="16" t="inlineStr">
        <is>
          <t>لم يُجرد</t>
        </is>
      </c>
      <c r="K23" s="14" t="n">
        <v>0</v>
      </c>
      <c r="L23" s="14" t="n">
        <v>24.16</v>
      </c>
      <c r="M23" s="5" t="inlineStr"/>
      <c r="N23" s="5" t="inlineStr"/>
    </row>
    <row r="24">
      <c r="A24" s="13" t="inlineStr">
        <is>
          <t>00024238</t>
        </is>
      </c>
      <c r="B24" s="5" t="inlineStr">
        <is>
          <t>[00024238] JP CO Q10 200 MG 30CAP 487</t>
        </is>
      </c>
      <c r="C24" s="5" t="inlineStr">
        <is>
          <t>دواء</t>
        </is>
      </c>
      <c r="D24" s="13" t="inlineStr">
        <is>
          <t>6281200000487</t>
        </is>
      </c>
      <c r="E24" s="14">
        <f>L24-K24</f>
        <v/>
      </c>
      <c r="F24" s="14" t="n">
        <v>0</v>
      </c>
      <c r="G24" s="14">
        <f>F24-E24</f>
        <v/>
      </c>
      <c r="H24" s="7" t="n">
        <v>188</v>
      </c>
      <c r="I24" s="7">
        <f>G24*H24</f>
        <v/>
      </c>
      <c r="J24" s="16" t="inlineStr">
        <is>
          <t>لم يُجرد</t>
        </is>
      </c>
      <c r="K24" s="14" t="n">
        <v>0</v>
      </c>
      <c r="L24" s="14" t="n">
        <v>11</v>
      </c>
      <c r="M24" s="5" t="inlineStr"/>
      <c r="N24" s="5" t="inlineStr"/>
    </row>
    <row r="25">
      <c r="A25" s="13" t="inlineStr">
        <is>
          <t>0005834</t>
        </is>
      </c>
      <c r="B25" s="5" t="inlineStr">
        <is>
          <t>[0005834] LUSTRAL 50MG 30 TAB</t>
        </is>
      </c>
      <c r="C25" s="5" t="inlineStr">
        <is>
          <t>دواء</t>
        </is>
      </c>
      <c r="D25" s="13" t="inlineStr"/>
      <c r="E25" s="14">
        <f>L25-K25</f>
        <v/>
      </c>
      <c r="F25" s="14" t="n">
        <v>0</v>
      </c>
      <c r="G25" s="14">
        <f>F25-E25</f>
        <v/>
      </c>
      <c r="H25" s="7" t="n">
        <v>95.7</v>
      </c>
      <c r="I25" s="7">
        <f>G25*H25</f>
        <v/>
      </c>
      <c r="J25" s="16" t="inlineStr">
        <is>
          <t>لم يُجرد</t>
        </is>
      </c>
      <c r="K25" s="14" t="n">
        <v>0</v>
      </c>
      <c r="L25" s="14" t="n">
        <v>20</v>
      </c>
      <c r="M25" s="5" t="inlineStr"/>
      <c r="N25" s="5" t="inlineStr"/>
    </row>
    <row r="26">
      <c r="A26" s="13" t="inlineStr">
        <is>
          <t>0005186</t>
        </is>
      </c>
      <c r="B26" s="5" t="inlineStr">
        <is>
          <t>[0005186] RELAXON 250MG 30 CAPS WASFA</t>
        </is>
      </c>
      <c r="C26" s="5" t="inlineStr">
        <is>
          <t>دواء</t>
        </is>
      </c>
      <c r="D26" s="13" t="inlineStr">
        <is>
          <t>010628512800076510ul</t>
        </is>
      </c>
      <c r="E26" s="14">
        <f>L26-K26</f>
        <v/>
      </c>
      <c r="F26" s="14" t="n">
        <v>0</v>
      </c>
      <c r="G26" s="14">
        <f>F26-E26</f>
        <v/>
      </c>
      <c r="H26" s="7" t="n">
        <v>27.75</v>
      </c>
      <c r="I26" s="7">
        <f>G26*H26</f>
        <v/>
      </c>
      <c r="J26" s="16" t="inlineStr">
        <is>
          <t>لم يُجرد</t>
        </is>
      </c>
      <c r="K26" s="14" t="n">
        <v>0</v>
      </c>
      <c r="L26" s="14" t="n">
        <v>114.67</v>
      </c>
      <c r="M26" s="5" t="inlineStr"/>
      <c r="N26" s="5" t="inlineStr"/>
    </row>
    <row r="27">
      <c r="A27" s="13" t="inlineStr">
        <is>
          <t>0005649</t>
        </is>
      </c>
      <c r="B27" s="5" t="inlineStr">
        <is>
          <t>[0005649] AVALON AVOHEX M/W 300ML</t>
        </is>
      </c>
      <c r="C27" s="5" t="inlineStr">
        <is>
          <t>دواء</t>
        </is>
      </c>
      <c r="D27" s="13" t="inlineStr">
        <is>
          <t>6285095000294</t>
        </is>
      </c>
      <c r="E27" s="14">
        <f>L27-K27</f>
        <v/>
      </c>
      <c r="F27" s="14" t="n">
        <v>0</v>
      </c>
      <c r="G27" s="14">
        <f>F27-E27</f>
        <v/>
      </c>
      <c r="H27" s="7" t="n">
        <v>37</v>
      </c>
      <c r="I27" s="7">
        <f>G27*H27</f>
        <v/>
      </c>
      <c r="J27" s="16" t="inlineStr">
        <is>
          <t>لم يُجرد</t>
        </is>
      </c>
      <c r="K27" s="14" t="n">
        <v>0</v>
      </c>
      <c r="L27" s="14" t="n">
        <v>94</v>
      </c>
      <c r="M27" s="5" t="inlineStr"/>
      <c r="N27" s="5" t="inlineStr"/>
    </row>
    <row r="28">
      <c r="A28" s="13" t="inlineStr">
        <is>
          <t>0005663</t>
        </is>
      </c>
      <c r="B28" s="5" t="inlineStr">
        <is>
          <t>[0005663] MEBO OINTMENT 15 GM</t>
        </is>
      </c>
      <c r="C28" s="5" t="inlineStr">
        <is>
          <t>دواء</t>
        </is>
      </c>
      <c r="D28" s="13" t="inlineStr">
        <is>
          <t>06291100083367</t>
        </is>
      </c>
      <c r="E28" s="14">
        <f>L28-K28</f>
        <v/>
      </c>
      <c r="F28" s="14" t="n">
        <v>0</v>
      </c>
      <c r="G28" s="14">
        <f>F28-E28</f>
        <v/>
      </c>
      <c r="H28" s="7" t="n">
        <v>45</v>
      </c>
      <c r="I28" s="7">
        <f>G28*H28</f>
        <v/>
      </c>
      <c r="J28" s="16" t="inlineStr">
        <is>
          <t>لم يُجرد</t>
        </is>
      </c>
      <c r="K28" s="14" t="n">
        <v>0</v>
      </c>
      <c r="L28" s="14" t="n">
        <v>39</v>
      </c>
      <c r="M28" s="5" t="inlineStr"/>
      <c r="N28" s="5" t="inlineStr"/>
    </row>
    <row r="29">
      <c r="A29" s="13" t="inlineStr">
        <is>
          <t>0005616</t>
        </is>
      </c>
      <c r="B29" s="5" t="inlineStr">
        <is>
          <t>[0005616] AVALON AVOGAIN 5% 50ML WASFA</t>
        </is>
      </c>
      <c r="C29" s="5" t="inlineStr">
        <is>
          <t>دواء</t>
        </is>
      </c>
      <c r="D29" s="13" t="inlineStr">
        <is>
          <t>6285095004629</t>
        </is>
      </c>
      <c r="E29" s="14">
        <f>L29-K29</f>
        <v/>
      </c>
      <c r="F29" s="14" t="n">
        <v>0</v>
      </c>
      <c r="G29" s="14">
        <f>F29-E29</f>
        <v/>
      </c>
      <c r="H29" s="7" t="n">
        <v>33.8</v>
      </c>
      <c r="I29" s="7">
        <f>G29*H29</f>
        <v/>
      </c>
      <c r="J29" s="16" t="inlineStr">
        <is>
          <t>لم يُجرد</t>
        </is>
      </c>
      <c r="K29" s="14" t="n">
        <v>0</v>
      </c>
      <c r="L29" s="14" t="n">
        <v>71</v>
      </c>
      <c r="M29" s="5" t="inlineStr"/>
      <c r="N29" s="5" t="inlineStr"/>
    </row>
    <row r="30">
      <c r="A30" s="13" t="inlineStr">
        <is>
          <t>0005385</t>
        </is>
      </c>
      <c r="B30" s="5" t="inlineStr">
        <is>
          <t>[0005385] AZI-ONCE 250MG 6 CAPS WASFA</t>
        </is>
      </c>
      <c r="C30" s="5" t="inlineStr">
        <is>
          <t>دواء</t>
        </is>
      </c>
      <c r="D30" s="13" t="inlineStr">
        <is>
          <t>06285128000178</t>
        </is>
      </c>
      <c r="E30" s="14">
        <f>L30-K30</f>
        <v/>
      </c>
      <c r="F30" s="14" t="n">
        <v>0</v>
      </c>
      <c r="G30" s="14">
        <f>F30-E30</f>
        <v/>
      </c>
      <c r="H30" s="7" t="n">
        <v>50.65</v>
      </c>
      <c r="I30" s="7">
        <f>G30*H30</f>
        <v/>
      </c>
      <c r="J30" s="16" t="inlineStr">
        <is>
          <t>لم يُجرد</t>
        </is>
      </c>
      <c r="K30" s="14" t="n">
        <v>0</v>
      </c>
      <c r="L30" s="14" t="n">
        <v>61</v>
      </c>
      <c r="M30" s="5" t="inlineStr"/>
      <c r="N30" s="5" t="inlineStr"/>
    </row>
    <row r="31">
      <c r="A31" s="13" t="inlineStr">
        <is>
          <t>0004304</t>
        </is>
      </c>
      <c r="B31" s="5" t="inlineStr">
        <is>
          <t>[0004304] CATAFAST 50MG 9 SACHETS</t>
        </is>
      </c>
      <c r="C31" s="5" t="inlineStr">
        <is>
          <t>دواء</t>
        </is>
      </c>
      <c r="D31" s="13" t="inlineStr">
        <is>
          <t>07612797011409</t>
        </is>
      </c>
      <c r="E31" s="14">
        <f>L31-K31</f>
        <v/>
      </c>
      <c r="F31" s="14" t="n">
        <v>0</v>
      </c>
      <c r="G31" s="14">
        <f>F31-E31</f>
        <v/>
      </c>
      <c r="H31" s="7" t="n">
        <v>18</v>
      </c>
      <c r="I31" s="7">
        <f>G31*H31</f>
        <v/>
      </c>
      <c r="J31" s="16" t="inlineStr">
        <is>
          <t>لم يُجرد</t>
        </is>
      </c>
      <c r="K31" s="14" t="n">
        <v>0</v>
      </c>
      <c r="L31" s="14" t="n">
        <v>99.5</v>
      </c>
      <c r="M31" s="5" t="inlineStr"/>
      <c r="N31" s="5" t="inlineStr"/>
    </row>
    <row r="32">
      <c r="A32" s="13" t="inlineStr">
        <is>
          <t>0005647</t>
        </is>
      </c>
      <c r="B32" s="5" t="inlineStr">
        <is>
          <t>[0005647] MARVELON 21 TAB*****</t>
        </is>
      </c>
      <c r="C32" s="5" t="inlineStr">
        <is>
          <t>دواء</t>
        </is>
      </c>
      <c r="D32" s="13" t="inlineStr">
        <is>
          <t>00840164521337</t>
        </is>
      </c>
      <c r="E32" s="14">
        <f>L32-K32</f>
        <v/>
      </c>
      <c r="F32" s="14" t="n">
        <v>0</v>
      </c>
      <c r="G32" s="14">
        <f>F32-E32</f>
        <v/>
      </c>
      <c r="H32" s="7" t="n">
        <v>14.6</v>
      </c>
      <c r="I32" s="7">
        <f>G32*H32</f>
        <v/>
      </c>
      <c r="J32" s="16" t="inlineStr">
        <is>
          <t>لم يُجرد</t>
        </is>
      </c>
      <c r="K32" s="14" t="n">
        <v>0</v>
      </c>
      <c r="L32" s="14" t="n">
        <v>99</v>
      </c>
      <c r="M32" s="5" t="inlineStr"/>
      <c r="N32" s="5" t="inlineStr"/>
    </row>
    <row r="33">
      <c r="A33" s="13" t="inlineStr">
        <is>
          <t>0005242</t>
        </is>
      </c>
      <c r="B33" s="5" t="inlineStr">
        <is>
          <t>[0005242] PRIMOLUT N 5 MG 30 TAB*****</t>
        </is>
      </c>
      <c r="C33" s="5" t="inlineStr">
        <is>
          <t>دواء</t>
        </is>
      </c>
      <c r="D33" s="13" t="inlineStr">
        <is>
          <t>06285074004145</t>
        </is>
      </c>
      <c r="E33" s="14">
        <f>L33-K33</f>
        <v/>
      </c>
      <c r="F33" s="14" t="n">
        <v>0</v>
      </c>
      <c r="G33" s="14">
        <f>F33-E33</f>
        <v/>
      </c>
      <c r="H33" s="7" t="n">
        <v>18.4</v>
      </c>
      <c r="I33" s="7">
        <f>G33*H33</f>
        <v/>
      </c>
      <c r="J33" s="16" t="inlineStr">
        <is>
          <t>لم يُجرد</t>
        </is>
      </c>
      <c r="K33" s="14" t="n">
        <v>0</v>
      </c>
      <c r="L33" s="14" t="n">
        <v>91</v>
      </c>
      <c r="M33" s="5" t="inlineStr"/>
      <c r="N33" s="5" t="inlineStr"/>
    </row>
    <row r="34">
      <c r="A34" s="13" t="inlineStr">
        <is>
          <t>0004485</t>
        </is>
      </c>
      <c r="B34" s="5" t="inlineStr">
        <is>
          <t>[0004485] ZIMAX 250 MG 6 CAP</t>
        </is>
      </c>
      <c r="C34" s="5" t="inlineStr">
        <is>
          <t>دواء</t>
        </is>
      </c>
      <c r="D34" s="13" t="inlineStr"/>
      <c r="E34" s="14">
        <f>L34-K34</f>
        <v/>
      </c>
      <c r="F34" s="14" t="n">
        <v>0</v>
      </c>
      <c r="G34" s="14">
        <f>F34-E34</f>
        <v/>
      </c>
      <c r="H34" s="7" t="n">
        <v>62.8</v>
      </c>
      <c r="I34" s="7">
        <f>G34*H34</f>
        <v/>
      </c>
      <c r="J34" s="16" t="inlineStr">
        <is>
          <t>لم يُجرد</t>
        </is>
      </c>
      <c r="K34" s="14" t="n">
        <v>0</v>
      </c>
      <c r="L34" s="14" t="n">
        <v>26</v>
      </c>
      <c r="M34" s="5" t="inlineStr"/>
      <c r="N34" s="5" t="inlineStr"/>
    </row>
    <row r="35">
      <c r="A35" s="13" t="inlineStr">
        <is>
          <t>00020484</t>
        </is>
      </c>
      <c r="B35" s="5" t="inlineStr">
        <is>
          <t>[00020484] REXOFIL 20 MG 4TAB</t>
        </is>
      </c>
      <c r="C35" s="5" t="inlineStr">
        <is>
          <t>دواء</t>
        </is>
      </c>
      <c r="D35" s="13" t="inlineStr"/>
      <c r="E35" s="14">
        <f>L35-K35</f>
        <v/>
      </c>
      <c r="F35" s="14" t="n">
        <v>0</v>
      </c>
      <c r="G35" s="14">
        <f>F35-E35</f>
        <v/>
      </c>
      <c r="H35" s="7" t="n">
        <v>64.84999999999999</v>
      </c>
      <c r="I35" s="7">
        <f>G35*H35</f>
        <v/>
      </c>
      <c r="J35" s="16" t="inlineStr">
        <is>
          <t>لم يُجرد</t>
        </is>
      </c>
      <c r="K35" s="14" t="n">
        <v>0</v>
      </c>
      <c r="L35" s="14" t="n">
        <v>76.75</v>
      </c>
      <c r="M35" s="5" t="inlineStr"/>
      <c r="N35" s="5" t="inlineStr"/>
    </row>
    <row r="36">
      <c r="A36" s="13" t="inlineStr">
        <is>
          <t>00047345</t>
        </is>
      </c>
      <c r="B36" s="5" t="inlineStr">
        <is>
          <t>[00047345] TOUJEO 300 IUML SOLU FOR INJ PREFILLED 5 PEN</t>
        </is>
      </c>
      <c r="C36" s="5" t="inlineStr">
        <is>
          <t>دواء</t>
        </is>
      </c>
      <c r="D36" s="13" t="inlineStr"/>
      <c r="E36" s="14">
        <f>L36-K36</f>
        <v/>
      </c>
      <c r="F36" s="14" t="n">
        <v>0</v>
      </c>
      <c r="G36" s="14">
        <f>F36-E36</f>
        <v/>
      </c>
      <c r="H36" s="7" t="n">
        <v>356.35</v>
      </c>
      <c r="I36" s="7">
        <f>G36*H36</f>
        <v/>
      </c>
      <c r="J36" s="16" t="inlineStr">
        <is>
          <t>لم يُجرد</t>
        </is>
      </c>
      <c r="K36" s="14" t="n">
        <v>0</v>
      </c>
      <c r="L36" s="14" t="n">
        <v>4</v>
      </c>
      <c r="M36" s="5" t="inlineStr"/>
      <c r="N36" s="5" t="inlineStr"/>
    </row>
    <row r="37">
      <c r="A37" s="13" t="inlineStr">
        <is>
          <t>00014742</t>
        </is>
      </c>
      <c r="B37" s="5" t="inlineStr">
        <is>
          <t>[00014742] SNAFI 5 MG 30 TAB</t>
        </is>
      </c>
      <c r="C37" s="5" t="inlineStr">
        <is>
          <t>دواء</t>
        </is>
      </c>
      <c r="D37" s="13" t="inlineStr"/>
      <c r="E37" s="14">
        <f>L37-K37</f>
        <v/>
      </c>
      <c r="F37" s="14" t="n">
        <v>0</v>
      </c>
      <c r="G37" s="14">
        <f>F37-E37</f>
        <v/>
      </c>
      <c r="H37" s="7" t="n">
        <v>136.15</v>
      </c>
      <c r="I37" s="7">
        <f>G37*H37</f>
        <v/>
      </c>
      <c r="J37" s="16" t="inlineStr">
        <is>
          <t>لم يُجرد</t>
        </is>
      </c>
      <c r="K37" s="14" t="n">
        <v>0</v>
      </c>
      <c r="L37" s="14" t="n">
        <v>9.75</v>
      </c>
      <c r="M37" s="5" t="inlineStr"/>
      <c r="N37" s="5" t="inlineStr"/>
    </row>
    <row r="38">
      <c r="A38" s="13" t="inlineStr">
        <is>
          <t>0003373</t>
        </is>
      </c>
      <c r="B38" s="5" t="inlineStr">
        <is>
          <t>[0003373] KLAVOX 457MG SUSPENSION 70ML</t>
        </is>
      </c>
      <c r="C38" s="5" t="inlineStr">
        <is>
          <t>دواء</t>
        </is>
      </c>
      <c r="D38" s="13" t="inlineStr">
        <is>
          <t>06281086011751</t>
        </is>
      </c>
      <c r="E38" s="14">
        <f>L38-K38</f>
        <v/>
      </c>
      <c r="F38" s="14" t="n">
        <v>0</v>
      </c>
      <c r="G38" s="14">
        <f>F38-E38</f>
        <v/>
      </c>
      <c r="H38" s="7" t="n">
        <v>26.65</v>
      </c>
      <c r="I38" s="7">
        <f>G38*H38</f>
        <v/>
      </c>
      <c r="J38" s="16" t="inlineStr">
        <is>
          <t>لم يُجرد</t>
        </is>
      </c>
      <c r="K38" s="14" t="n">
        <v>0</v>
      </c>
      <c r="L38" s="14" t="n">
        <v>52</v>
      </c>
      <c r="M38" s="5" t="inlineStr"/>
      <c r="N38" s="5" t="inlineStr"/>
    </row>
    <row r="39">
      <c r="A39" s="13" t="inlineStr">
        <is>
          <t>0005855</t>
        </is>
      </c>
      <c r="B39" s="5" t="inlineStr">
        <is>
          <t>[0005855] AVALON AVOCOM-M CREAM 50 G</t>
        </is>
      </c>
      <c r="C39" s="5" t="inlineStr">
        <is>
          <t>دواء</t>
        </is>
      </c>
      <c r="D39" s="13" t="inlineStr">
        <is>
          <t>06285095008344</t>
        </is>
      </c>
      <c r="E39" s="14">
        <f>L39-K39</f>
        <v/>
      </c>
      <c r="F39" s="14" t="n">
        <v>0</v>
      </c>
      <c r="G39" s="14">
        <f>F39-E39</f>
        <v/>
      </c>
      <c r="H39" s="7" t="n">
        <v>37.25</v>
      </c>
      <c r="I39" s="7">
        <f>G39*H39</f>
        <v/>
      </c>
      <c r="J39" s="16" t="inlineStr">
        <is>
          <t>لم يُجرد</t>
        </is>
      </c>
      <c r="K39" s="14" t="n">
        <v>0</v>
      </c>
      <c r="L39" s="14" t="n">
        <v>37</v>
      </c>
      <c r="M39" s="5" t="inlineStr"/>
      <c r="N39" s="5" t="inlineStr"/>
    </row>
    <row r="40">
      <c r="A40" s="13" t="inlineStr">
        <is>
          <t>00026208</t>
        </is>
      </c>
      <c r="B40" s="5" t="inlineStr">
        <is>
          <t>[00026208] PRIMA D 5000 IU 60CAP WASFA</t>
        </is>
      </c>
      <c r="C40" s="5" t="inlineStr">
        <is>
          <t>دواء</t>
        </is>
      </c>
      <c r="D40" s="13" t="inlineStr"/>
      <c r="E40" s="14">
        <f>L40-K40</f>
        <v/>
      </c>
      <c r="F40" s="14" t="n">
        <v>0</v>
      </c>
      <c r="G40" s="14">
        <f>F40-E40</f>
        <v/>
      </c>
      <c r="H40" s="7" t="n">
        <v>33</v>
      </c>
      <c r="I40" s="7">
        <f>G40*H40</f>
        <v/>
      </c>
      <c r="J40" s="16" t="inlineStr">
        <is>
          <t>لم يُجرد</t>
        </is>
      </c>
      <c r="K40" s="14" t="n">
        <v>0</v>
      </c>
      <c r="L40" s="14" t="n">
        <v>57</v>
      </c>
      <c r="M40" s="5" t="inlineStr"/>
      <c r="N40" s="5" t="inlineStr"/>
    </row>
    <row r="41">
      <c r="A41" s="13" t="inlineStr">
        <is>
          <t>00017014</t>
        </is>
      </c>
      <c r="B41" s="5" t="inlineStr">
        <is>
          <t>[00017014] ZORON 8MG TAB WASFA</t>
        </is>
      </c>
      <c r="C41" s="5" t="inlineStr">
        <is>
          <t>دواء</t>
        </is>
      </c>
      <c r="D41" s="13" t="inlineStr">
        <is>
          <t>06285128003285</t>
        </is>
      </c>
      <c r="E41" s="14">
        <f>L41-K41</f>
        <v/>
      </c>
      <c r="F41" s="14" t="n">
        <v>0</v>
      </c>
      <c r="G41" s="14">
        <f>F41-E41</f>
        <v/>
      </c>
      <c r="H41" s="7" t="n">
        <v>151.5</v>
      </c>
      <c r="I41" s="7">
        <f>G41*H41</f>
        <v/>
      </c>
      <c r="J41" s="16" t="inlineStr">
        <is>
          <t>لم يُجرد</t>
        </is>
      </c>
      <c r="K41" s="14" t="n">
        <v>0</v>
      </c>
      <c r="L41" s="14" t="n">
        <v>9</v>
      </c>
      <c r="M41" s="5" t="inlineStr"/>
      <c r="N41" s="5" t="inlineStr"/>
    </row>
    <row r="42">
      <c r="A42" s="13" t="inlineStr">
        <is>
          <t>00013976</t>
        </is>
      </c>
      <c r="B42" s="5" t="inlineStr">
        <is>
          <t>[00013976] JP VERATOL SOFTGEL CAPS</t>
        </is>
      </c>
      <c r="C42" s="5" t="inlineStr">
        <is>
          <t>دواء</t>
        </is>
      </c>
      <c r="D42" s="13" t="inlineStr">
        <is>
          <t>06285128002424</t>
        </is>
      </c>
      <c r="E42" s="14">
        <f>L42-K42</f>
        <v/>
      </c>
      <c r="F42" s="14" t="n">
        <v>0</v>
      </c>
      <c r="G42" s="14">
        <f>F42-E42</f>
        <v/>
      </c>
      <c r="H42" s="7" t="n">
        <v>211</v>
      </c>
      <c r="I42" s="7">
        <f>G42*H42</f>
        <v/>
      </c>
      <c r="J42" s="16" t="inlineStr">
        <is>
          <t>لم يُجرد</t>
        </is>
      </c>
      <c r="K42" s="14" t="n">
        <v>0</v>
      </c>
      <c r="L42" s="14" t="n">
        <v>6</v>
      </c>
      <c r="M42" s="5" t="inlineStr"/>
      <c r="N42" s="5" t="inlineStr"/>
    </row>
    <row r="43">
      <c r="A43" s="13" t="inlineStr">
        <is>
          <t>00028064</t>
        </is>
      </c>
      <c r="B43" s="5" t="inlineStr">
        <is>
          <t>[00028064] PROLIFE SHIELD 30SACHETS</t>
        </is>
      </c>
      <c r="C43" s="5" t="inlineStr">
        <is>
          <t>دواء</t>
        </is>
      </c>
      <c r="D43" s="13" t="inlineStr">
        <is>
          <t>8809110408285</t>
        </is>
      </c>
      <c r="E43" s="14">
        <f>L43-K43</f>
        <v/>
      </c>
      <c r="F43" s="14" t="n">
        <v>0</v>
      </c>
      <c r="G43" s="14">
        <f>F43-E43</f>
        <v/>
      </c>
      <c r="H43" s="7" t="n">
        <v>139</v>
      </c>
      <c r="I43" s="7">
        <f>G43*H43</f>
        <v/>
      </c>
      <c r="J43" s="16" t="inlineStr">
        <is>
          <t>لم يُجرد</t>
        </is>
      </c>
      <c r="K43" s="14" t="n">
        <v>0</v>
      </c>
      <c r="L43" s="14" t="n">
        <v>9</v>
      </c>
      <c r="M43" s="5" t="inlineStr"/>
      <c r="N43" s="5" t="inlineStr"/>
    </row>
    <row r="44">
      <c r="A44" s="13" t="inlineStr">
        <is>
          <t>0005195</t>
        </is>
      </c>
      <c r="B44" s="5" t="inlineStr">
        <is>
          <t>[0005195] REMOX 500MG 20 CAPS</t>
        </is>
      </c>
      <c r="C44" s="5" t="inlineStr">
        <is>
          <t>دواء</t>
        </is>
      </c>
      <c r="D44" s="13" t="inlineStr"/>
      <c r="E44" s="14">
        <f>L44-K44</f>
        <v/>
      </c>
      <c r="F44" s="14" t="n">
        <v>0</v>
      </c>
      <c r="G44" s="14">
        <f>F44-E44</f>
        <v/>
      </c>
      <c r="H44" s="7" t="n">
        <v>43.6</v>
      </c>
      <c r="I44" s="7">
        <f>G44*H44</f>
        <v/>
      </c>
      <c r="J44" s="16" t="inlineStr">
        <is>
          <t>لم يُجرد</t>
        </is>
      </c>
      <c r="K44" s="14" t="n">
        <v>0</v>
      </c>
      <c r="L44" s="14" t="n">
        <v>29</v>
      </c>
      <c r="M44" s="5" t="inlineStr"/>
      <c r="N44" s="5" t="inlineStr"/>
    </row>
    <row r="45">
      <c r="A45" s="13" t="inlineStr">
        <is>
          <t>00044121</t>
        </is>
      </c>
      <c r="B45" s="5" t="inlineStr">
        <is>
          <t>[00044121] BEPANTHEN CREAM 100G BUY 2 PACK 4190</t>
        </is>
      </c>
      <c r="C45" s="5" t="inlineStr">
        <is>
          <t>دواء</t>
        </is>
      </c>
      <c r="D45" s="13" t="inlineStr">
        <is>
          <t>6285074004190</t>
        </is>
      </c>
      <c r="E45" s="14">
        <f>L45-K45</f>
        <v/>
      </c>
      <c r="F45" s="14" t="n">
        <v>0</v>
      </c>
      <c r="G45" s="14">
        <f>F45-E45</f>
        <v/>
      </c>
      <c r="H45" s="7" t="n">
        <v>109.34</v>
      </c>
      <c r="I45" s="7">
        <f>G45*H45</f>
        <v/>
      </c>
      <c r="J45" s="16" t="inlineStr">
        <is>
          <t>لم يُجرد</t>
        </is>
      </c>
      <c r="K45" s="14" t="n">
        <v>0</v>
      </c>
      <c r="L45" s="14" t="n">
        <v>11</v>
      </c>
      <c r="M45" s="5" t="inlineStr"/>
      <c r="N45" s="5" t="inlineStr"/>
    </row>
    <row r="46">
      <c r="A46" s="13" t="inlineStr">
        <is>
          <t>0005055</t>
        </is>
      </c>
      <c r="B46" s="5" t="inlineStr">
        <is>
          <t>[0005055] ROFENAC GEL 50 GM</t>
        </is>
      </c>
      <c r="C46" s="5" t="inlineStr">
        <is>
          <t>دواء</t>
        </is>
      </c>
      <c r="D46" s="13" t="inlineStr">
        <is>
          <t>06281086010662</t>
        </is>
      </c>
      <c r="E46" s="14">
        <f>L46-K46</f>
        <v/>
      </c>
      <c r="F46" s="14" t="n">
        <v>0</v>
      </c>
      <c r="G46" s="14">
        <f>F46-E46</f>
        <v/>
      </c>
      <c r="H46" s="7" t="n">
        <v>13.45</v>
      </c>
      <c r="I46" s="7">
        <f>G46*H46</f>
        <v/>
      </c>
      <c r="J46" s="16" t="inlineStr">
        <is>
          <t>لم يُجرد</t>
        </is>
      </c>
      <c r="K46" s="14" t="n">
        <v>0</v>
      </c>
      <c r="L46" s="14" t="n">
        <v>91</v>
      </c>
      <c r="M46" s="5" t="inlineStr"/>
      <c r="N46" s="5" t="inlineStr"/>
    </row>
    <row r="47">
      <c r="A47" s="13" t="inlineStr">
        <is>
          <t>00020471</t>
        </is>
      </c>
      <c r="B47" s="5" t="inlineStr">
        <is>
          <t>[00020471] APISAL JET DEAD SEA BABY 125ML</t>
        </is>
      </c>
      <c r="C47" s="5" t="inlineStr">
        <is>
          <t>دواء</t>
        </is>
      </c>
      <c r="D47" s="13" t="inlineStr">
        <is>
          <t>6251151001369</t>
        </is>
      </c>
      <c r="E47" s="14">
        <f>L47-K47</f>
        <v/>
      </c>
      <c r="F47" s="14" t="n">
        <v>0</v>
      </c>
      <c r="G47" s="14">
        <f>F47-E47</f>
        <v/>
      </c>
      <c r="H47" s="7" t="n">
        <v>65</v>
      </c>
      <c r="I47" s="7">
        <f>G47*H47</f>
        <v/>
      </c>
      <c r="J47" s="16" t="inlineStr">
        <is>
          <t>لم يُجرد</t>
        </is>
      </c>
      <c r="K47" s="14" t="n">
        <v>0</v>
      </c>
      <c r="L47" s="14" t="n">
        <v>18</v>
      </c>
      <c r="M47" s="5" t="inlineStr"/>
      <c r="N47" s="5" t="inlineStr"/>
    </row>
    <row r="48">
      <c r="A48" s="13" t="inlineStr">
        <is>
          <t>0005288</t>
        </is>
      </c>
      <c r="B48" s="5" t="inlineStr">
        <is>
          <t>[0005288] PLAVIX 75MG 28 TAB******</t>
        </is>
      </c>
      <c r="C48" s="5" t="inlineStr">
        <is>
          <t>دواء</t>
        </is>
      </c>
      <c r="D48" s="13" t="inlineStr">
        <is>
          <t>06285088000911</t>
        </is>
      </c>
      <c r="E48" s="14">
        <f>L48-K48</f>
        <v/>
      </c>
      <c r="F48" s="14" t="n">
        <v>0</v>
      </c>
      <c r="G48" s="14">
        <f>F48-E48</f>
        <v/>
      </c>
      <c r="H48" s="7" t="n">
        <v>230</v>
      </c>
      <c r="I48" s="7">
        <f>G48*H48</f>
        <v/>
      </c>
      <c r="J48" s="16" t="inlineStr">
        <is>
          <t>لم يُجرد</t>
        </is>
      </c>
      <c r="K48" s="14" t="n">
        <v>0</v>
      </c>
      <c r="L48" s="14" t="n">
        <v>5</v>
      </c>
      <c r="M48" s="5" t="inlineStr"/>
      <c r="N48" s="5" t="inlineStr"/>
    </row>
    <row r="49">
      <c r="A49" s="13" t="inlineStr">
        <is>
          <t>0003270</t>
        </is>
      </c>
      <c r="B49" s="5" t="inlineStr">
        <is>
          <t>[0003270] LEJAM 60 MG TAB</t>
        </is>
      </c>
      <c r="C49" s="5" t="inlineStr">
        <is>
          <t>دواء</t>
        </is>
      </c>
      <c r="D49" s="13" t="inlineStr">
        <is>
          <t>06281086012901</t>
        </is>
      </c>
      <c r="E49" s="14">
        <f>L49-K49</f>
        <v/>
      </c>
      <c r="F49" s="14" t="n">
        <v>0</v>
      </c>
      <c r="G49" s="14">
        <f>F49-E49</f>
        <v/>
      </c>
      <c r="H49" s="7" t="n">
        <v>67</v>
      </c>
      <c r="I49" s="7">
        <f>G49*H49</f>
        <v/>
      </c>
      <c r="J49" s="16" t="inlineStr">
        <is>
          <t>لم يُجرد</t>
        </is>
      </c>
      <c r="K49" s="14" t="n">
        <v>0</v>
      </c>
      <c r="L49" s="14" t="n">
        <v>16.75</v>
      </c>
      <c r="M49" s="5" t="inlineStr"/>
      <c r="N49" s="5" t="inlineStr"/>
    </row>
    <row r="50">
      <c r="A50" s="13" t="inlineStr">
        <is>
          <t>0003815</t>
        </is>
      </c>
      <c r="B50" s="5" t="inlineStr">
        <is>
          <t>[0003815] AMLOCARD 5MG TAB .30S</t>
        </is>
      </c>
      <c r="C50" s="5" t="inlineStr">
        <is>
          <t>دواء</t>
        </is>
      </c>
      <c r="D50" s="13" t="inlineStr">
        <is>
          <t>06285104000062</t>
        </is>
      </c>
      <c r="E50" s="14">
        <f>L50-K50</f>
        <v/>
      </c>
      <c r="F50" s="14" t="n">
        <v>0</v>
      </c>
      <c r="G50" s="14">
        <f>F50-E50</f>
        <v/>
      </c>
      <c r="H50" s="7" t="n">
        <v>26.45</v>
      </c>
      <c r="I50" s="7">
        <f>G50*H50</f>
        <v/>
      </c>
      <c r="J50" s="16" t="inlineStr">
        <is>
          <t>لم يُجرد</t>
        </is>
      </c>
      <c r="K50" s="14" t="n">
        <v>0</v>
      </c>
      <c r="L50" s="14" t="n">
        <v>42</v>
      </c>
      <c r="M50" s="5" t="inlineStr"/>
      <c r="N50" s="5" t="inlineStr"/>
    </row>
    <row r="51">
      <c r="A51" s="13" t="inlineStr">
        <is>
          <t>00019042</t>
        </is>
      </c>
      <c r="B51" s="5" t="inlineStr">
        <is>
          <t>[00019042] PEPTAZOL 15MG 28 CAPS</t>
        </is>
      </c>
      <c r="C51" s="5" t="inlineStr">
        <is>
          <t>دواء</t>
        </is>
      </c>
      <c r="D51" s="13" t="inlineStr"/>
      <c r="E51" s="14">
        <f>L51-K51</f>
        <v/>
      </c>
      <c r="F51" s="14" t="n">
        <v>0</v>
      </c>
      <c r="G51" s="14">
        <f>F51-E51</f>
        <v/>
      </c>
      <c r="H51" s="7" t="n">
        <v>45.9</v>
      </c>
      <c r="I51" s="7">
        <f>G51*H51</f>
        <v/>
      </c>
      <c r="J51" s="16" t="inlineStr">
        <is>
          <t>لم يُجرد</t>
        </is>
      </c>
      <c r="K51" s="14" t="n">
        <v>0</v>
      </c>
      <c r="L51" s="14" t="n">
        <v>24</v>
      </c>
      <c r="M51" s="5" t="inlineStr"/>
      <c r="N51" s="5" t="inlineStr"/>
    </row>
    <row r="52">
      <c r="A52" s="13" t="inlineStr">
        <is>
          <t>0005847</t>
        </is>
      </c>
      <c r="B52" s="5" t="inlineStr">
        <is>
          <t>[0005847] AVALON ALPHA PLUS CREAM 30GM</t>
        </is>
      </c>
      <c r="C52" s="5" t="inlineStr">
        <is>
          <t>دواء</t>
        </is>
      </c>
      <c r="D52" s="13" t="inlineStr">
        <is>
          <t>06285095006579</t>
        </is>
      </c>
      <c r="E52" s="14">
        <f>L52-K52</f>
        <v/>
      </c>
      <c r="F52" s="14" t="n">
        <v>0</v>
      </c>
      <c r="G52" s="14">
        <f>F52-E52</f>
        <v/>
      </c>
      <c r="H52" s="7" t="n">
        <v>65.25</v>
      </c>
      <c r="I52" s="7">
        <f>G52*H52</f>
        <v/>
      </c>
      <c r="J52" s="16" t="inlineStr">
        <is>
          <t>لم يُجرد</t>
        </is>
      </c>
      <c r="K52" s="14" t="n">
        <v>0</v>
      </c>
      <c r="L52" s="14" t="n">
        <v>14</v>
      </c>
      <c r="M52" s="5" t="inlineStr"/>
      <c r="N52" s="5" t="inlineStr"/>
    </row>
    <row r="53">
      <c r="A53" s="13" t="inlineStr">
        <is>
          <t>00017464</t>
        </is>
      </c>
      <c r="B53" s="5" t="inlineStr">
        <is>
          <t>[00017464] PRIORIN -N  90SCAPS</t>
        </is>
      </c>
      <c r="C53" s="5" t="inlineStr">
        <is>
          <t>دواء</t>
        </is>
      </c>
      <c r="D53" s="13" t="inlineStr">
        <is>
          <t>06285074004725</t>
        </is>
      </c>
      <c r="E53" s="14">
        <f>L53-K53</f>
        <v/>
      </c>
      <c r="F53" s="14" t="n">
        <v>0</v>
      </c>
      <c r="G53" s="14">
        <f>F53-E53</f>
        <v/>
      </c>
      <c r="H53" s="7" t="n">
        <v>86.55</v>
      </c>
      <c r="I53" s="7">
        <f>G53*H53</f>
        <v/>
      </c>
      <c r="J53" s="16" t="inlineStr">
        <is>
          <t>لم يُجرد</t>
        </is>
      </c>
      <c r="K53" s="14" t="n">
        <v>0</v>
      </c>
      <c r="L53" s="14" t="n">
        <v>12</v>
      </c>
      <c r="M53" s="5" t="inlineStr"/>
      <c r="N53" s="5" t="inlineStr"/>
    </row>
    <row r="54">
      <c r="A54" s="13" t="inlineStr">
        <is>
          <t>00020472</t>
        </is>
      </c>
      <c r="B54" s="5" t="inlineStr">
        <is>
          <t>[00020472] APISAL JET DEAD SEA AD/CHI 125ML SPRY</t>
        </is>
      </c>
      <c r="C54" s="5" t="inlineStr">
        <is>
          <t>دواء</t>
        </is>
      </c>
      <c r="D54" s="13" t="inlineStr">
        <is>
          <t>6251151001352</t>
        </is>
      </c>
      <c r="E54" s="14">
        <f>L54-K54</f>
        <v/>
      </c>
      <c r="F54" s="14" t="n">
        <v>0</v>
      </c>
      <c r="G54" s="14">
        <f>F54-E54</f>
        <v/>
      </c>
      <c r="H54" s="7" t="n">
        <v>65</v>
      </c>
      <c r="I54" s="7">
        <f>G54*H54</f>
        <v/>
      </c>
      <c r="J54" s="16" t="inlineStr">
        <is>
          <t>لم يُجرد</t>
        </is>
      </c>
      <c r="K54" s="14" t="n">
        <v>0</v>
      </c>
      <c r="L54" s="14" t="n">
        <v>16</v>
      </c>
      <c r="M54" s="5" t="inlineStr"/>
      <c r="N54" s="5" t="inlineStr"/>
    </row>
    <row r="55">
      <c r="A55" s="13" t="inlineStr">
        <is>
          <t>00017044</t>
        </is>
      </c>
      <c r="B55" s="5" t="inlineStr">
        <is>
          <t>[00017044] AVALON ACTIV ORIGINAL CR.100ML-</t>
        </is>
      </c>
      <c r="C55" s="5" t="inlineStr">
        <is>
          <t>دواء</t>
        </is>
      </c>
      <c r="D55" s="13" t="inlineStr">
        <is>
          <t>6285095000126</t>
        </is>
      </c>
      <c r="E55" s="14">
        <f>L55-K55</f>
        <v/>
      </c>
      <c r="F55" s="14" t="n">
        <v>0</v>
      </c>
      <c r="G55" s="14">
        <f>F55-E55</f>
        <v/>
      </c>
      <c r="H55" s="7" t="n">
        <v>55</v>
      </c>
      <c r="I55" s="7">
        <f>G55*H55</f>
        <v/>
      </c>
      <c r="J55" s="16" t="inlineStr">
        <is>
          <t>لم يُجرد</t>
        </is>
      </c>
      <c r="K55" s="14" t="n">
        <v>0</v>
      </c>
      <c r="L55" s="14" t="n">
        <v>40</v>
      </c>
      <c r="M55" s="5" t="inlineStr"/>
      <c r="N55" s="5" t="inlineStr"/>
    </row>
    <row r="56">
      <c r="A56" s="13" t="inlineStr">
        <is>
          <t>0005298</t>
        </is>
      </c>
      <c r="B56" s="5" t="inlineStr">
        <is>
          <t>[0005298] PANADOL NIGHT 20 CABLET</t>
        </is>
      </c>
      <c r="C56" s="5" t="inlineStr">
        <is>
          <t>دواء</t>
        </is>
      </c>
      <c r="D56" s="13" t="inlineStr">
        <is>
          <t>06285096002877</t>
        </is>
      </c>
      <c r="E56" s="14">
        <f>L56-K56</f>
        <v/>
      </c>
      <c r="F56" s="14" t="n">
        <v>0</v>
      </c>
      <c r="G56" s="14">
        <f>F56-E56</f>
        <v/>
      </c>
      <c r="H56" s="7" t="n">
        <v>11.6</v>
      </c>
      <c r="I56" s="7">
        <f>G56*H56</f>
        <v/>
      </c>
      <c r="J56" s="16" t="inlineStr">
        <is>
          <t>لم يُجرد</t>
        </is>
      </c>
      <c r="K56" s="14" t="n">
        <v>0</v>
      </c>
      <c r="L56" s="14" t="n">
        <v>91.5</v>
      </c>
      <c r="M56" s="5" t="inlineStr"/>
      <c r="N56" s="5" t="inlineStr"/>
    </row>
    <row r="57">
      <c r="A57" s="13" t="inlineStr">
        <is>
          <t>00040735</t>
        </is>
      </c>
      <c r="B57" s="5" t="inlineStr">
        <is>
          <t>[00040735] WEGOVY 0.5 MG PEN</t>
        </is>
      </c>
      <c r="C57" s="5" t="inlineStr">
        <is>
          <t>دواء</t>
        </is>
      </c>
      <c r="D57" s="13" t="inlineStr"/>
      <c r="E57" s="14">
        <f>L57-K57</f>
        <v/>
      </c>
      <c r="F57" s="14" t="n">
        <v>0</v>
      </c>
      <c r="G57" s="14">
        <f>F57-E57</f>
        <v/>
      </c>
      <c r="H57" s="7" t="n">
        <v>481.45</v>
      </c>
      <c r="I57" s="7">
        <f>G57*H57</f>
        <v/>
      </c>
      <c r="J57" s="16" t="inlineStr">
        <is>
          <t>لم يُجرد</t>
        </is>
      </c>
      <c r="K57" s="14" t="n">
        <v>0</v>
      </c>
      <c r="L57" s="14" t="n">
        <v>2</v>
      </c>
      <c r="M57" s="5" t="inlineStr"/>
      <c r="N57" s="5" t="inlineStr"/>
    </row>
    <row r="58">
      <c r="A58" s="13" t="inlineStr">
        <is>
          <t>0005265</t>
        </is>
      </c>
      <c r="B58" s="5" t="inlineStr">
        <is>
          <t>[0005265] PEPTAZOL 30MG 28 CAP</t>
        </is>
      </c>
      <c r="C58" s="5" t="inlineStr">
        <is>
          <t>دواء</t>
        </is>
      </c>
      <c r="D58" s="13" t="inlineStr">
        <is>
          <t>01062810860012401010</t>
        </is>
      </c>
      <c r="E58" s="14">
        <f>L58-K58</f>
        <v/>
      </c>
      <c r="F58" s="14" t="n">
        <v>0</v>
      </c>
      <c r="G58" s="14">
        <f>F58-E58</f>
        <v/>
      </c>
      <c r="H58" s="7" t="n">
        <v>91.90000000000001</v>
      </c>
      <c r="I58" s="7">
        <f>G58*H58</f>
        <v/>
      </c>
      <c r="J58" s="16" t="inlineStr">
        <is>
          <t>لم يُجرد</t>
        </is>
      </c>
      <c r="K58" s="14" t="n">
        <v>0</v>
      </c>
      <c r="L58" s="14" t="n">
        <v>10.75</v>
      </c>
      <c r="M58" s="5" t="inlineStr"/>
      <c r="N58" s="5" t="inlineStr"/>
    </row>
    <row r="59">
      <c r="A59" s="13" t="inlineStr">
        <is>
          <t>0003449</t>
        </is>
      </c>
      <c r="B59" s="5" t="inlineStr">
        <is>
          <t>[0003449] IVY CALM SYRUP 120ML</t>
        </is>
      </c>
      <c r="C59" s="5" t="inlineStr">
        <is>
          <t>دواء</t>
        </is>
      </c>
      <c r="D59" s="13" t="inlineStr">
        <is>
          <t>06291100087372</t>
        </is>
      </c>
      <c r="E59" s="14">
        <f>L59-K59</f>
        <v/>
      </c>
      <c r="F59" s="14" t="n">
        <v>0</v>
      </c>
      <c r="G59" s="14">
        <f>F59-E59</f>
        <v/>
      </c>
      <c r="H59" s="7" t="n">
        <v>38</v>
      </c>
      <c r="I59" s="7">
        <f>G59*H59</f>
        <v/>
      </c>
      <c r="J59" s="16" t="inlineStr">
        <is>
          <t>لم يُجرد</t>
        </is>
      </c>
      <c r="K59" s="14" t="n">
        <v>0</v>
      </c>
      <c r="L59" s="14" t="n">
        <v>27</v>
      </c>
      <c r="M59" s="5" t="inlineStr"/>
      <c r="N59" s="5" t="inlineStr"/>
    </row>
    <row r="60">
      <c r="A60" s="13" t="inlineStr">
        <is>
          <t>0003269</t>
        </is>
      </c>
      <c r="B60" s="5" t="inlineStr">
        <is>
          <t>[0003269] LEJAM 30 MG 4TAB</t>
        </is>
      </c>
      <c r="C60" s="5" t="inlineStr">
        <is>
          <t>دواء</t>
        </is>
      </c>
      <c r="D60" s="13" t="inlineStr">
        <is>
          <t>01062810860028961012</t>
        </is>
      </c>
      <c r="E60" s="14">
        <f>L60-K60</f>
        <v/>
      </c>
      <c r="F60" s="14" t="n">
        <v>0</v>
      </c>
      <c r="G60" s="14">
        <f>F60-E60</f>
        <v/>
      </c>
      <c r="H60" s="7" t="n">
        <v>67</v>
      </c>
      <c r="I60" s="7">
        <f>G60*H60</f>
        <v/>
      </c>
      <c r="J60" s="16" t="inlineStr">
        <is>
          <t>لم يُجرد</t>
        </is>
      </c>
      <c r="K60" s="14" t="n">
        <v>0</v>
      </c>
      <c r="L60" s="14" t="n">
        <v>15.25</v>
      </c>
      <c r="M60" s="5" t="inlineStr"/>
      <c r="N60" s="5" t="inlineStr"/>
    </row>
    <row r="61">
      <c r="A61" s="13" t="inlineStr">
        <is>
          <t>0005490</t>
        </is>
      </c>
      <c r="B61" s="5" t="inlineStr">
        <is>
          <t>[0005490] NEORIN 2.5MG/5ML SYRUP 150ML</t>
        </is>
      </c>
      <c r="C61" s="5" t="inlineStr">
        <is>
          <t>دواء</t>
        </is>
      </c>
      <c r="D61" s="13" t="inlineStr">
        <is>
          <t>06281086002063</t>
        </is>
      </c>
      <c r="E61" s="14">
        <f>L61-K61</f>
        <v/>
      </c>
      <c r="F61" s="14" t="n">
        <v>0</v>
      </c>
      <c r="G61" s="14">
        <f>F61-E61</f>
        <v/>
      </c>
      <c r="H61" s="7" t="n">
        <v>22.7</v>
      </c>
      <c r="I61" s="7">
        <f>G61*H61</f>
        <v/>
      </c>
      <c r="J61" s="16" t="inlineStr">
        <is>
          <t>لم يُجرد</t>
        </is>
      </c>
      <c r="K61" s="14" t="n">
        <v>0</v>
      </c>
      <c r="L61" s="14" t="n">
        <v>45</v>
      </c>
      <c r="M61" s="5" t="inlineStr"/>
      <c r="N61" s="5" t="inlineStr"/>
    </row>
    <row r="62">
      <c r="A62" s="13" t="inlineStr">
        <is>
          <t>00024298</t>
        </is>
      </c>
      <c r="B62" s="5" t="inlineStr">
        <is>
          <t>[00024298] JP OMEGA3 567MG 60CAP</t>
        </is>
      </c>
      <c r="C62" s="5" t="inlineStr">
        <is>
          <t>دواء</t>
        </is>
      </c>
      <c r="D62" s="13" t="inlineStr">
        <is>
          <t>06285128011723</t>
        </is>
      </c>
      <c r="E62" s="14">
        <f>L62-K62</f>
        <v/>
      </c>
      <c r="F62" s="14" t="n">
        <v>0</v>
      </c>
      <c r="G62" s="14">
        <f>F62-E62</f>
        <v/>
      </c>
      <c r="H62" s="7" t="n">
        <v>110</v>
      </c>
      <c r="I62" s="7">
        <f>G62*H62</f>
        <v/>
      </c>
      <c r="J62" s="16" t="inlineStr">
        <is>
          <t>لم يُجرد</t>
        </is>
      </c>
      <c r="K62" s="14" t="n">
        <v>0</v>
      </c>
      <c r="L62" s="14" t="n">
        <v>9</v>
      </c>
      <c r="M62" s="5" t="inlineStr"/>
      <c r="N62" s="5" t="inlineStr"/>
    </row>
    <row r="63">
      <c r="A63" s="13" t="inlineStr">
        <is>
          <t>0003777</t>
        </is>
      </c>
      <c r="B63" s="5" t="inlineStr">
        <is>
          <t>[0003777] FEVADOL SF SYRUP 145 ML</t>
        </is>
      </c>
      <c r="C63" s="5" t="inlineStr">
        <is>
          <t>دواء</t>
        </is>
      </c>
      <c r="D63" s="13" t="inlineStr">
        <is>
          <t>06281086010938</t>
        </is>
      </c>
      <c r="E63" s="14">
        <f>L63-K63</f>
        <v/>
      </c>
      <c r="F63" s="14" t="n">
        <v>0</v>
      </c>
      <c r="G63" s="14">
        <f>F63-E63</f>
        <v/>
      </c>
      <c r="H63" s="7" t="n">
        <v>13.35</v>
      </c>
      <c r="I63" s="7">
        <f>G63*H63</f>
        <v/>
      </c>
      <c r="J63" s="16" t="inlineStr">
        <is>
          <t>لم يُجرد</t>
        </is>
      </c>
      <c r="K63" s="14" t="n">
        <v>0</v>
      </c>
      <c r="L63" s="14" t="n">
        <v>97</v>
      </c>
      <c r="M63" s="5" t="inlineStr"/>
      <c r="N63" s="5" t="inlineStr"/>
    </row>
    <row r="64">
      <c r="A64" s="13" t="inlineStr">
        <is>
          <t>00018605</t>
        </is>
      </c>
      <c r="B64" s="5" t="inlineStr">
        <is>
          <t>[00018605] PANADREX 500MG 48TAB.</t>
        </is>
      </c>
      <c r="C64" s="5" t="inlineStr">
        <is>
          <t>دواء</t>
        </is>
      </c>
      <c r="D64" s="13" t="inlineStr">
        <is>
          <t>06285085001010</t>
        </is>
      </c>
      <c r="E64" s="14">
        <f>L64-K64</f>
        <v/>
      </c>
      <c r="F64" s="14" t="n">
        <v>0</v>
      </c>
      <c r="G64" s="14">
        <f>F64-E64</f>
        <v/>
      </c>
      <c r="H64" s="7" t="n">
        <v>9.4</v>
      </c>
      <c r="I64" s="7">
        <f>G64*H64</f>
        <v/>
      </c>
      <c r="J64" s="16" t="inlineStr">
        <is>
          <t>لم يُجرد</t>
        </is>
      </c>
      <c r="K64" s="14" t="n">
        <v>0</v>
      </c>
      <c r="L64" s="14" t="n">
        <v>114</v>
      </c>
      <c r="M64" s="5" t="inlineStr"/>
      <c r="N64" s="5" t="inlineStr"/>
    </row>
    <row r="65">
      <c r="A65" s="13" t="inlineStr">
        <is>
          <t>00024872</t>
        </is>
      </c>
      <c r="B65" s="5" t="inlineStr">
        <is>
          <t>[00024872] JP GLAVOLEAN 300 MG 60 CAP</t>
        </is>
      </c>
      <c r="C65" s="5" t="inlineStr">
        <is>
          <t>دواء</t>
        </is>
      </c>
      <c r="D65" s="13" t="inlineStr">
        <is>
          <t>06285128006279</t>
        </is>
      </c>
      <c r="E65" s="14">
        <f>L65-K65</f>
        <v/>
      </c>
      <c r="F65" s="14" t="n">
        <v>0</v>
      </c>
      <c r="G65" s="14">
        <f>F65-E65</f>
        <v/>
      </c>
      <c r="H65" s="7" t="n">
        <v>489</v>
      </c>
      <c r="I65" s="7">
        <f>G65*H65</f>
        <v/>
      </c>
      <c r="J65" s="16" t="inlineStr">
        <is>
          <t>لم يُجرد</t>
        </is>
      </c>
      <c r="K65" s="14" t="n">
        <v>0</v>
      </c>
      <c r="L65" s="14" t="n">
        <v>2</v>
      </c>
      <c r="M65" s="5" t="inlineStr"/>
      <c r="N65" s="5" t="inlineStr"/>
    </row>
    <row r="66">
      <c r="A66" s="13" t="inlineStr">
        <is>
          <t>0004845</t>
        </is>
      </c>
      <c r="B66" s="5" t="inlineStr">
        <is>
          <t>[0004845] STREPSILS EXTRA 24-TAB LOZ</t>
        </is>
      </c>
      <c r="C66" s="5" t="inlineStr">
        <is>
          <t>دواء</t>
        </is>
      </c>
      <c r="D66" s="13" t="inlineStr">
        <is>
          <t>5000158102903</t>
        </is>
      </c>
      <c r="E66" s="14">
        <f>L66-K66</f>
        <v/>
      </c>
      <c r="F66" s="14" t="n">
        <v>0</v>
      </c>
      <c r="G66" s="14">
        <f>F66-E66</f>
        <v/>
      </c>
      <c r="H66" s="7" t="n">
        <v>44</v>
      </c>
      <c r="I66" s="7">
        <f>G66*H66</f>
        <v/>
      </c>
      <c r="J66" s="16" t="inlineStr">
        <is>
          <t>لم يُجرد</t>
        </is>
      </c>
      <c r="K66" s="14" t="n">
        <v>0</v>
      </c>
      <c r="L66" s="14" t="n">
        <v>22</v>
      </c>
      <c r="M66" s="5" t="inlineStr"/>
      <c r="N66" s="5" t="inlineStr"/>
    </row>
    <row r="67">
      <c r="A67" s="13" t="inlineStr">
        <is>
          <t>0003459</t>
        </is>
      </c>
      <c r="B67" s="5" t="inlineStr">
        <is>
          <t>[0003459] HYFRESH EYE DROPS 10ML******</t>
        </is>
      </c>
      <c r="C67" s="5" t="inlineStr">
        <is>
          <t>دواء</t>
        </is>
      </c>
      <c r="D67" s="13" t="inlineStr">
        <is>
          <t>06285128000499</t>
        </is>
      </c>
      <c r="E67" s="14">
        <f>L67-K67</f>
        <v/>
      </c>
      <c r="F67" s="14" t="n">
        <v>0</v>
      </c>
      <c r="G67" s="14">
        <f>F67-E67</f>
        <v/>
      </c>
      <c r="H67" s="7" t="n">
        <v>34.15</v>
      </c>
      <c r="I67" s="7">
        <f>G67*H67</f>
        <v/>
      </c>
      <c r="J67" s="16" t="inlineStr">
        <is>
          <t>لم يُجرد</t>
        </is>
      </c>
      <c r="K67" s="14" t="n">
        <v>0</v>
      </c>
      <c r="L67" s="14" t="n">
        <v>29</v>
      </c>
      <c r="M67" s="5" t="inlineStr"/>
      <c r="N67" s="5" t="inlineStr"/>
    </row>
    <row r="68">
      <c r="A68" s="13" t="inlineStr">
        <is>
          <t>0005410</t>
        </is>
      </c>
      <c r="B68" s="5" t="inlineStr">
        <is>
          <t>[0005410] OMNIC OCAS 0.4MG 30TAB*****</t>
        </is>
      </c>
      <c r="C68" s="5" t="inlineStr">
        <is>
          <t>دواء</t>
        </is>
      </c>
      <c r="D68" s="13" t="inlineStr"/>
      <c r="E68" s="14">
        <f>L68-K68</f>
        <v/>
      </c>
      <c r="F68" s="14" t="n">
        <v>0</v>
      </c>
      <c r="G68" s="14">
        <f>F68-E68</f>
        <v/>
      </c>
      <c r="H68" s="7" t="n">
        <v>71.7</v>
      </c>
      <c r="I68" s="7">
        <f>G68*H68</f>
        <v/>
      </c>
      <c r="J68" s="16" t="inlineStr">
        <is>
          <t>لم يُجرد</t>
        </is>
      </c>
      <c r="K68" s="14" t="n">
        <v>0</v>
      </c>
      <c r="L68" s="14" t="n">
        <v>13</v>
      </c>
      <c r="M68" s="5" t="inlineStr"/>
      <c r="N68" s="5" t="inlineStr"/>
    </row>
    <row r="69">
      <c r="A69" s="13" t="inlineStr">
        <is>
          <t>00045718</t>
        </is>
      </c>
      <c r="B69" s="5" t="inlineStr">
        <is>
          <t>[00045718] OMERAL 20MG 14CAP</t>
        </is>
      </c>
      <c r="C69" s="5" t="inlineStr">
        <is>
          <t>دواء</t>
        </is>
      </c>
      <c r="D69" s="13" t="inlineStr"/>
      <c r="E69" s="14">
        <f>L69-K69</f>
        <v/>
      </c>
      <c r="F69" s="14" t="n">
        <v>0</v>
      </c>
      <c r="G69" s="14">
        <f>F69-E69</f>
        <v/>
      </c>
      <c r="H69" s="7" t="n">
        <v>45.95</v>
      </c>
      <c r="I69" s="7">
        <f>G69*H69</f>
        <v/>
      </c>
      <c r="J69" s="16" t="inlineStr">
        <is>
          <t>لم يُجرد</t>
        </is>
      </c>
      <c r="K69" s="14" t="n">
        <v>0</v>
      </c>
      <c r="L69" s="14" t="n">
        <v>21</v>
      </c>
      <c r="M69" s="5" t="inlineStr"/>
      <c r="N69" s="5" t="inlineStr"/>
    </row>
    <row r="70">
      <c r="A70" s="13" t="inlineStr">
        <is>
          <t>0005065</t>
        </is>
      </c>
      <c r="B70" s="5" t="inlineStr">
        <is>
          <t>[0005065] AVALON RHINASE AQUEOUS NASAL SPRAY</t>
        </is>
      </c>
      <c r="C70" s="5" t="inlineStr">
        <is>
          <t>دواء</t>
        </is>
      </c>
      <c r="D70" s="13" t="inlineStr">
        <is>
          <t>06285095005701</t>
        </is>
      </c>
      <c r="E70" s="14">
        <f>L70-K70</f>
        <v/>
      </c>
      <c r="F70" s="14" t="n">
        <v>0</v>
      </c>
      <c r="G70" s="14">
        <f>F70-E70</f>
        <v/>
      </c>
      <c r="H70" s="7" t="n">
        <v>24.7</v>
      </c>
      <c r="I70" s="7">
        <f>G70*H70</f>
        <v/>
      </c>
      <c r="J70" s="16" t="inlineStr">
        <is>
          <t>لم يُجرد</t>
        </is>
      </c>
      <c r="K70" s="14" t="n">
        <v>0</v>
      </c>
      <c r="L70" s="14" t="n">
        <v>39</v>
      </c>
      <c r="M70" s="5" t="inlineStr"/>
      <c r="N70" s="5" t="inlineStr"/>
    </row>
    <row r="71">
      <c r="A71" s="13" t="inlineStr">
        <is>
          <t>00020591</t>
        </is>
      </c>
      <c r="B71" s="5" t="inlineStr">
        <is>
          <t>[00020591] D-SEUL 50,000IU 20CAP</t>
        </is>
      </c>
      <c r="C71" s="5" t="inlineStr">
        <is>
          <t>دواء</t>
        </is>
      </c>
      <c r="D71" s="13" t="inlineStr">
        <is>
          <t>06286219000572</t>
        </is>
      </c>
      <c r="E71" s="14">
        <f>L71-K71</f>
        <v/>
      </c>
      <c r="F71" s="14" t="n">
        <v>0</v>
      </c>
      <c r="G71" s="14">
        <f>F71-E71</f>
        <v/>
      </c>
      <c r="H71" s="7" t="n">
        <v>64.09999999999999</v>
      </c>
      <c r="I71" s="7">
        <f>G71*H71</f>
        <v/>
      </c>
      <c r="J71" s="16" t="inlineStr">
        <is>
          <t>لم يُجرد</t>
        </is>
      </c>
      <c r="K71" s="14" t="n">
        <v>0</v>
      </c>
      <c r="L71" s="14" t="n">
        <v>15</v>
      </c>
      <c r="M71" s="5" t="inlineStr"/>
      <c r="N71" s="5" t="inlineStr"/>
    </row>
    <row r="72">
      <c r="A72" s="13" t="inlineStr">
        <is>
          <t>00020134</t>
        </is>
      </c>
      <c r="B72" s="5" t="inlineStr">
        <is>
          <t>[00020134] OZEMPIC 1 MG PEN</t>
        </is>
      </c>
      <c r="C72" s="5" t="inlineStr">
        <is>
          <t>دواء</t>
        </is>
      </c>
      <c r="D72" s="13" t="inlineStr"/>
      <c r="E72" s="14">
        <f>L72-K72</f>
        <v/>
      </c>
      <c r="F72" s="14" t="n">
        <v>0</v>
      </c>
      <c r="G72" s="14">
        <f>F72-E72</f>
        <v/>
      </c>
      <c r="H72" s="7" t="n">
        <v>418.65</v>
      </c>
      <c r="I72" s="7">
        <f>G72*H72</f>
        <v/>
      </c>
      <c r="J72" s="16" t="inlineStr">
        <is>
          <t>لم يُجرد</t>
        </is>
      </c>
      <c r="K72" s="14" t="n">
        <v>0</v>
      </c>
      <c r="L72" s="14" t="n">
        <v>2</v>
      </c>
      <c r="M72" s="5" t="inlineStr"/>
      <c r="N72" s="5" t="inlineStr"/>
    </row>
    <row r="73">
      <c r="A73" s="13" t="inlineStr">
        <is>
          <t>0005381</t>
        </is>
      </c>
      <c r="B73" s="5" t="inlineStr">
        <is>
          <t>[0005381] OTRIVIN DOSING SPRAY 0.1% 10ML</t>
        </is>
      </c>
      <c r="C73" s="5" t="inlineStr">
        <is>
          <t>دواء</t>
        </is>
      </c>
      <c r="D73" s="13" t="inlineStr"/>
      <c r="E73" s="14">
        <f>L73-K73</f>
        <v/>
      </c>
      <c r="F73" s="14" t="n">
        <v>0</v>
      </c>
      <c r="G73" s="14">
        <f>F73-E73</f>
        <v/>
      </c>
      <c r="H73" s="7" t="n">
        <v>16.55</v>
      </c>
      <c r="I73" s="7">
        <f>G73*H73</f>
        <v/>
      </c>
      <c r="J73" s="16" t="inlineStr">
        <is>
          <t>لم يُجرد</t>
        </is>
      </c>
      <c r="K73" s="14" t="n">
        <v>0</v>
      </c>
      <c r="L73" s="14" t="n">
        <v>55</v>
      </c>
      <c r="M73" s="5" t="inlineStr"/>
      <c r="N73" s="5" t="inlineStr"/>
    </row>
    <row r="74">
      <c r="A74" s="13" t="inlineStr">
        <is>
          <t>0005694</t>
        </is>
      </c>
      <c r="B74" s="5" t="inlineStr">
        <is>
          <t>[0005694] MEVA 135MG TAB WASFA</t>
        </is>
      </c>
      <c r="C74" s="5" t="inlineStr">
        <is>
          <t>دواء</t>
        </is>
      </c>
      <c r="D74" s="13" t="inlineStr">
        <is>
          <t>010628512800061110um</t>
        </is>
      </c>
      <c r="E74" s="14">
        <f>L74-K74</f>
        <v/>
      </c>
      <c r="F74" s="14" t="n">
        <v>0</v>
      </c>
      <c r="G74" s="14">
        <f>F74-E74</f>
        <v/>
      </c>
      <c r="H74" s="7" t="n">
        <v>15.8</v>
      </c>
      <c r="I74" s="7">
        <f>G74*H74</f>
        <v/>
      </c>
      <c r="J74" s="16" t="inlineStr">
        <is>
          <t>لم يُجرد</t>
        </is>
      </c>
      <c r="K74" s="14" t="n">
        <v>0</v>
      </c>
      <c r="L74" s="14" t="n">
        <v>92.25</v>
      </c>
      <c r="M74" s="5" t="inlineStr"/>
      <c r="N74" s="5" t="inlineStr"/>
    </row>
    <row r="75">
      <c r="A75" s="13" t="inlineStr">
        <is>
          <t>0005643</t>
        </is>
      </c>
      <c r="B75" s="5" t="inlineStr">
        <is>
          <t>[0005643] MARNYS FRESH ROYAL JELLY 1000MG 30CAPS</t>
        </is>
      </c>
      <c r="C75" s="5" t="inlineStr">
        <is>
          <t>دواء</t>
        </is>
      </c>
      <c r="D75" s="13" t="inlineStr">
        <is>
          <t>8410885075239</t>
        </is>
      </c>
      <c r="E75" s="14">
        <f>L75-K75</f>
        <v/>
      </c>
      <c r="F75" s="14" t="n">
        <v>0</v>
      </c>
      <c r="G75" s="14">
        <f>F75-E75</f>
        <v/>
      </c>
      <c r="H75" s="7" t="n">
        <v>195</v>
      </c>
      <c r="I75" s="7">
        <f>G75*H75</f>
        <v/>
      </c>
      <c r="J75" s="16" t="inlineStr">
        <is>
          <t>لم يُجرد</t>
        </is>
      </c>
      <c r="K75" s="14" t="n">
        <v>0</v>
      </c>
      <c r="L75" s="14" t="n">
        <v>7</v>
      </c>
      <c r="M75" s="5" t="inlineStr"/>
      <c r="N75" s="5" t="inlineStr"/>
    </row>
    <row r="76">
      <c r="A76" s="13" t="inlineStr">
        <is>
          <t>00040738</t>
        </is>
      </c>
      <c r="B76" s="5" t="inlineStr">
        <is>
          <t>[00040738] WEGOVY 1.7 MG PEN</t>
        </is>
      </c>
      <c r="C76" s="5" t="inlineStr">
        <is>
          <t>دواء</t>
        </is>
      </c>
      <c r="D76" s="13" t="inlineStr"/>
      <c r="E76" s="14">
        <f>L76-K76</f>
        <v/>
      </c>
      <c r="F76" s="14" t="n">
        <v>0</v>
      </c>
      <c r="G76" s="14">
        <f>F76-E76</f>
        <v/>
      </c>
      <c r="H76" s="7" t="n">
        <v>818.45</v>
      </c>
      <c r="I76" s="7">
        <f>G76*H76</f>
        <v/>
      </c>
      <c r="J76" s="16" t="inlineStr">
        <is>
          <t>لم يُجرد</t>
        </is>
      </c>
      <c r="K76" s="14" t="n">
        <v>0</v>
      </c>
      <c r="L76" s="14" t="n">
        <v>1</v>
      </c>
      <c r="M76" s="5" t="inlineStr"/>
      <c r="N76" s="5" t="inlineStr"/>
    </row>
    <row r="77">
      <c r="A77" s="13" t="inlineStr">
        <is>
          <t>0003674</t>
        </is>
      </c>
      <c r="B77" s="5" t="inlineStr">
        <is>
          <t>[0003674] FUCICORT CREAM 30 GM</t>
        </is>
      </c>
      <c r="C77" s="5" t="inlineStr">
        <is>
          <t>دواء</t>
        </is>
      </c>
      <c r="D77" s="13" t="inlineStr">
        <is>
          <t>05702191028096</t>
        </is>
      </c>
      <c r="E77" s="14">
        <f>L77-K77</f>
        <v/>
      </c>
      <c r="F77" s="14" t="n">
        <v>0</v>
      </c>
      <c r="G77" s="14">
        <f>F77-E77</f>
        <v/>
      </c>
      <c r="H77" s="7" t="n">
        <v>38.5</v>
      </c>
      <c r="I77" s="7">
        <f>G77*H77</f>
        <v/>
      </c>
      <c r="J77" s="16" t="inlineStr">
        <is>
          <t>لم يُجرد</t>
        </is>
      </c>
      <c r="K77" s="14" t="n">
        <v>0</v>
      </c>
      <c r="L77" s="14" t="n">
        <v>24</v>
      </c>
      <c r="M77" s="5" t="inlineStr"/>
      <c r="N77" s="5" t="inlineStr"/>
    </row>
    <row r="78">
      <c r="A78" s="13" t="inlineStr">
        <is>
          <t>0003682</t>
        </is>
      </c>
      <c r="B78" s="5" t="inlineStr">
        <is>
          <t>[0003682] FUSIBACT B CREAM 15GM</t>
        </is>
      </c>
      <c r="C78" s="5" t="inlineStr">
        <is>
          <t>دواء</t>
        </is>
      </c>
      <c r="D78" s="13" t="inlineStr">
        <is>
          <t>06285128000468</t>
        </is>
      </c>
      <c r="E78" s="14">
        <f>L78-K78</f>
        <v/>
      </c>
      <c r="F78" s="14" t="n">
        <v>0</v>
      </c>
      <c r="G78" s="14">
        <f>F78-E78</f>
        <v/>
      </c>
      <c r="H78" s="7" t="n">
        <v>12.9</v>
      </c>
      <c r="I78" s="7">
        <f>G78*H78</f>
        <v/>
      </c>
      <c r="J78" s="16" t="inlineStr">
        <is>
          <t>لم يُجرد</t>
        </is>
      </c>
      <c r="K78" s="14" t="n">
        <v>0</v>
      </c>
      <c r="L78" s="14" t="n">
        <v>95</v>
      </c>
      <c r="M78" s="5" t="inlineStr"/>
      <c r="N78" s="5" t="inlineStr"/>
    </row>
    <row r="79">
      <c r="A79" s="13" t="inlineStr">
        <is>
          <t>00019948</t>
        </is>
      </c>
      <c r="B79" s="5" t="inlineStr">
        <is>
          <t>[00019948] TRIOLITE CREAM 30G WASFA</t>
        </is>
      </c>
      <c r="C79" s="5" t="inlineStr">
        <is>
          <t>دواء</t>
        </is>
      </c>
      <c r="D79" s="13" t="inlineStr"/>
      <c r="E79" s="14">
        <f>L79-K79</f>
        <v/>
      </c>
      <c r="F79" s="14" t="n">
        <v>0</v>
      </c>
      <c r="G79" s="14">
        <f>F79-E79</f>
        <v/>
      </c>
      <c r="H79" s="7" t="n">
        <v>63.09</v>
      </c>
      <c r="I79" s="7">
        <f>G79*H79</f>
        <v/>
      </c>
      <c r="J79" s="16" t="inlineStr">
        <is>
          <t>لم يُجرد</t>
        </is>
      </c>
      <c r="K79" s="14" t="n">
        <v>0</v>
      </c>
      <c r="L79" s="14" t="n">
        <v>14</v>
      </c>
      <c r="M79" s="5" t="inlineStr"/>
      <c r="N79" s="5" t="inlineStr"/>
    </row>
    <row r="80">
      <c r="A80" s="13" t="inlineStr">
        <is>
          <t>0005546</t>
        </is>
      </c>
      <c r="B80" s="5" t="inlineStr">
        <is>
          <t>[0005546] NEO HEALER 10SUPP</t>
        </is>
      </c>
      <c r="C80" s="5" t="inlineStr">
        <is>
          <t>دواء</t>
        </is>
      </c>
      <c r="D80" s="13" t="inlineStr">
        <is>
          <t>06251159028450</t>
        </is>
      </c>
      <c r="E80" s="14">
        <f>L80-K80</f>
        <v/>
      </c>
      <c r="F80" s="14" t="n">
        <v>0</v>
      </c>
      <c r="G80" s="14">
        <f>F80-E80</f>
        <v/>
      </c>
      <c r="H80" s="7" t="n">
        <v>72</v>
      </c>
      <c r="I80" s="7">
        <f>G80*H80</f>
        <v/>
      </c>
      <c r="J80" s="16" t="inlineStr">
        <is>
          <t>لم يُجرد</t>
        </is>
      </c>
      <c r="K80" s="14" t="n">
        <v>0</v>
      </c>
      <c r="L80" s="14" t="n">
        <v>18</v>
      </c>
      <c r="M80" s="5" t="inlineStr"/>
      <c r="N80" s="5" t="inlineStr"/>
    </row>
    <row r="81">
      <c r="A81" s="13" t="inlineStr">
        <is>
          <t>0005854</t>
        </is>
      </c>
      <c r="B81" s="5" t="inlineStr">
        <is>
          <t>[0005854] AVALON AVOCOM AQUEOUS NASAL SPRAY</t>
        </is>
      </c>
      <c r="C81" s="5" t="inlineStr">
        <is>
          <t>دواء</t>
        </is>
      </c>
      <c r="D81" s="13" t="inlineStr">
        <is>
          <t>06285095005374</t>
        </is>
      </c>
      <c r="E81" s="14">
        <f>L81-K81</f>
        <v/>
      </c>
      <c r="F81" s="14" t="n">
        <v>0</v>
      </c>
      <c r="G81" s="14">
        <f>F81-E81</f>
        <v/>
      </c>
      <c r="H81" s="7" t="n">
        <v>41.6</v>
      </c>
      <c r="I81" s="7">
        <f>G81*H81</f>
        <v/>
      </c>
      <c r="J81" s="16" t="inlineStr">
        <is>
          <t>لم يُجرد</t>
        </is>
      </c>
      <c r="K81" s="14" t="n">
        <v>0</v>
      </c>
      <c r="L81" s="14" t="n">
        <v>21</v>
      </c>
      <c r="M81" s="5" t="inlineStr"/>
      <c r="N81" s="5" t="inlineStr"/>
    </row>
    <row r="82">
      <c r="A82" s="13" t="inlineStr">
        <is>
          <t>00016288</t>
        </is>
      </c>
      <c r="B82" s="5" t="inlineStr">
        <is>
          <t>[00016288] COMFY   OLIVE CRM 100GM</t>
        </is>
      </c>
      <c r="C82" s="5" t="inlineStr">
        <is>
          <t>دواء</t>
        </is>
      </c>
      <c r="D82" s="13" t="inlineStr">
        <is>
          <t>06285128007849</t>
        </is>
      </c>
      <c r="E82" s="14">
        <f>L82-K82</f>
        <v/>
      </c>
      <c r="F82" s="14" t="n">
        <v>0</v>
      </c>
      <c r="G82" s="14">
        <f>F82-E82</f>
        <v/>
      </c>
      <c r="H82" s="7" t="n">
        <v>41.8</v>
      </c>
      <c r="I82" s="7">
        <f>G82*H82</f>
        <v/>
      </c>
      <c r="J82" s="16" t="inlineStr">
        <is>
          <t>لم يُجرد</t>
        </is>
      </c>
      <c r="K82" s="14" t="n">
        <v>0</v>
      </c>
      <c r="L82" s="14" t="n">
        <v>32</v>
      </c>
      <c r="M82" s="5" t="inlineStr"/>
      <c r="N82" s="5" t="inlineStr"/>
    </row>
    <row r="83">
      <c r="A83" s="13" t="inlineStr">
        <is>
          <t>0003801</t>
        </is>
      </c>
      <c r="B83" s="5" t="inlineStr">
        <is>
          <t>[0003801] FEROGLOBIN 30 CAPS</t>
        </is>
      </c>
      <c r="C83" s="5" t="inlineStr">
        <is>
          <t>دواء</t>
        </is>
      </c>
      <c r="D83" s="13" t="inlineStr">
        <is>
          <t>5021265231140</t>
        </is>
      </c>
      <c r="E83" s="14">
        <f>L83-K83</f>
        <v/>
      </c>
      <c r="F83" s="14" t="n">
        <v>0</v>
      </c>
      <c r="G83" s="14">
        <f>F83-E83</f>
        <v/>
      </c>
      <c r="H83" s="7" t="n">
        <v>25.2</v>
      </c>
      <c r="I83" s="7">
        <f>G83*H83</f>
        <v/>
      </c>
      <c r="J83" s="16" t="inlineStr">
        <is>
          <t>لم يُجرد</t>
        </is>
      </c>
      <c r="K83" s="14" t="n">
        <v>0</v>
      </c>
      <c r="L83" s="14" t="n">
        <v>40</v>
      </c>
      <c r="M83" s="5" t="inlineStr"/>
      <c r="N83" s="5" t="inlineStr"/>
    </row>
    <row r="84">
      <c r="A84" s="13" t="inlineStr">
        <is>
          <t>0005824</t>
        </is>
      </c>
      <c r="B84" s="5" t="inlineStr">
        <is>
          <t>[0005824] LOXTRA EYE DROP</t>
        </is>
      </c>
      <c r="C84" s="5" t="inlineStr">
        <is>
          <t>دواء</t>
        </is>
      </c>
      <c r="D84" s="13" t="inlineStr">
        <is>
          <t>06285128000581</t>
        </is>
      </c>
      <c r="E84" s="14">
        <f>L84-K84</f>
        <v/>
      </c>
      <c r="F84" s="14" t="n">
        <v>0</v>
      </c>
      <c r="G84" s="14">
        <f>F84-E84</f>
        <v/>
      </c>
      <c r="H84" s="7" t="n">
        <v>18.1</v>
      </c>
      <c r="I84" s="7">
        <f>G84*H84</f>
        <v/>
      </c>
      <c r="J84" s="16" t="inlineStr">
        <is>
          <t>لم يُجرد</t>
        </is>
      </c>
      <c r="K84" s="14" t="n">
        <v>0</v>
      </c>
      <c r="L84" s="14" t="n">
        <v>47</v>
      </c>
      <c r="M84" s="5" t="inlineStr"/>
      <c r="N84" s="5" t="inlineStr"/>
    </row>
    <row r="85">
      <c r="A85" s="13" t="inlineStr">
        <is>
          <t>0005014</t>
        </is>
      </c>
      <c r="B85" s="5" t="inlineStr">
        <is>
          <t>[0005014] DUSPATALIN RET. 200MG 30CAP****</t>
        </is>
      </c>
      <c r="C85" s="5" t="inlineStr">
        <is>
          <t>دواء</t>
        </is>
      </c>
      <c r="D85" s="13" t="inlineStr">
        <is>
          <t>08002660016317</t>
        </is>
      </c>
      <c r="E85" s="14">
        <f>L85-K85</f>
        <v/>
      </c>
      <c r="F85" s="14" t="n">
        <v>0</v>
      </c>
      <c r="G85" s="14">
        <f>F85-E85</f>
        <v/>
      </c>
      <c r="H85" s="7" t="n">
        <v>48.15</v>
      </c>
      <c r="I85" s="7">
        <f>G85*H85</f>
        <v/>
      </c>
      <c r="J85" s="16" t="inlineStr">
        <is>
          <t>لم يُجرد</t>
        </is>
      </c>
      <c r="K85" s="14" t="n">
        <v>0</v>
      </c>
      <c r="L85" s="14" t="n">
        <v>17.65</v>
      </c>
      <c r="M85" s="5" t="inlineStr"/>
      <c r="N85" s="5" t="inlineStr"/>
    </row>
    <row r="86">
      <c r="A86" s="13" t="inlineStr">
        <is>
          <t>00046976</t>
        </is>
      </c>
      <c r="B86" s="5" t="inlineStr">
        <is>
          <t>[00046976] DEXCOM ONE+RECEIVER</t>
        </is>
      </c>
      <c r="C86" s="5" t="inlineStr">
        <is>
          <t>دواء</t>
        </is>
      </c>
      <c r="D86" s="13" t="inlineStr">
        <is>
          <t>0100386270003843241s</t>
        </is>
      </c>
      <c r="E86" s="14">
        <f>L86-K86</f>
        <v/>
      </c>
      <c r="F86" s="14" t="n">
        <v>0</v>
      </c>
      <c r="G86" s="14">
        <f>F86-E86</f>
        <v/>
      </c>
      <c r="H86" s="7" t="n">
        <v>817</v>
      </c>
      <c r="I86" s="7">
        <f>G86*H86</f>
        <v/>
      </c>
      <c r="J86" s="16" t="inlineStr">
        <is>
          <t>لم يُجرد</t>
        </is>
      </c>
      <c r="K86" s="14" t="n">
        <v>0</v>
      </c>
      <c r="L86" s="14" t="n">
        <v>1</v>
      </c>
      <c r="M86" s="5" t="inlineStr"/>
      <c r="N86" s="5" t="inlineStr"/>
    </row>
    <row r="87">
      <c r="A87" s="13" t="inlineStr">
        <is>
          <t>00043117</t>
        </is>
      </c>
      <c r="B87" s="5" t="inlineStr">
        <is>
          <t>[00043117] RISEK PLUS 30 CAP</t>
        </is>
      </c>
      <c r="C87" s="5" t="inlineStr">
        <is>
          <t>دواء</t>
        </is>
      </c>
      <c r="D87" s="13" t="inlineStr">
        <is>
          <t>06291107473734</t>
        </is>
      </c>
      <c r="E87" s="14">
        <f>L87-K87</f>
        <v/>
      </c>
      <c r="F87" s="14" t="n">
        <v>0</v>
      </c>
      <c r="G87" s="14">
        <f>F87-E87</f>
        <v/>
      </c>
      <c r="H87" s="7" t="n">
        <v>89.2</v>
      </c>
      <c r="I87" s="7">
        <f>G87*H87</f>
        <v/>
      </c>
      <c r="J87" s="16" t="inlineStr">
        <is>
          <t>لم يُجرد</t>
        </is>
      </c>
      <c r="K87" s="14" t="n">
        <v>0</v>
      </c>
      <c r="L87" s="14" t="n">
        <v>9</v>
      </c>
      <c r="M87" s="5" t="inlineStr"/>
      <c r="N87" s="5" t="inlineStr"/>
    </row>
    <row r="88">
      <c r="A88" s="13" t="inlineStr">
        <is>
          <t>00025181</t>
        </is>
      </c>
      <c r="B88" s="5" t="inlineStr">
        <is>
          <t>[00025181] BUFOMIX EASY HALER 160/4.5MCG</t>
        </is>
      </c>
      <c r="C88" s="5" t="inlineStr">
        <is>
          <t>دواء</t>
        </is>
      </c>
      <c r="D88" s="13" t="inlineStr">
        <is>
          <t>06285101004056</t>
        </is>
      </c>
      <c r="E88" s="14">
        <f>L88-K88</f>
        <v/>
      </c>
      <c r="F88" s="14" t="n">
        <v>0</v>
      </c>
      <c r="G88" s="14">
        <f>F88-E88</f>
        <v/>
      </c>
      <c r="H88" s="7" t="n">
        <v>158</v>
      </c>
      <c r="I88" s="7">
        <f>G88*H88</f>
        <v/>
      </c>
      <c r="J88" s="16" t="inlineStr">
        <is>
          <t>لم يُجرد</t>
        </is>
      </c>
      <c r="K88" s="14" t="n">
        <v>0</v>
      </c>
      <c r="L88" s="14" t="n">
        <v>5</v>
      </c>
      <c r="M88" s="5" t="inlineStr"/>
      <c r="N88" s="5" t="inlineStr"/>
    </row>
    <row r="89">
      <c r="A89" s="13" t="inlineStr">
        <is>
          <t>00045144</t>
        </is>
      </c>
      <c r="B89" s="5" t="inlineStr">
        <is>
          <t>[00045144] CYSTINE B6 ZINC 120TAB BIORGA 1472</t>
        </is>
      </c>
      <c r="C89" s="5" t="inlineStr">
        <is>
          <t>دواء</t>
        </is>
      </c>
      <c r="D89" s="13" t="inlineStr">
        <is>
          <t>3660398501472</t>
        </is>
      </c>
      <c r="E89" s="14">
        <f>L89-K89</f>
        <v/>
      </c>
      <c r="F89" s="14" t="n">
        <v>0</v>
      </c>
      <c r="G89" s="14">
        <f>F89-E89</f>
        <v/>
      </c>
      <c r="H89" s="7" t="n">
        <v>115.4</v>
      </c>
      <c r="I89" s="7">
        <f>G89*H89</f>
        <v/>
      </c>
      <c r="J89" s="16" t="inlineStr">
        <is>
          <t>لم يُجرد</t>
        </is>
      </c>
      <c r="K89" s="14" t="n">
        <v>0</v>
      </c>
      <c r="L89" s="14" t="n">
        <v>7</v>
      </c>
      <c r="M89" s="5" t="inlineStr"/>
      <c r="N89" s="5" t="inlineStr"/>
    </row>
    <row r="90">
      <c r="A90" s="13" t="inlineStr">
        <is>
          <t>00024232</t>
        </is>
      </c>
      <c r="B90" s="5" t="inlineStr">
        <is>
          <t>[00024232] JP ASHWAG 300MG 50CAP</t>
        </is>
      </c>
      <c r="C90" s="5" t="inlineStr">
        <is>
          <t>دواء</t>
        </is>
      </c>
      <c r="D90" s="13" t="inlineStr">
        <is>
          <t>06285128015080</t>
        </is>
      </c>
      <c r="E90" s="14">
        <f>L90-K90</f>
        <v/>
      </c>
      <c r="F90" s="14" t="n">
        <v>0</v>
      </c>
      <c r="G90" s="14">
        <f>F90-E90</f>
        <v/>
      </c>
      <c r="H90" s="7" t="n">
        <v>86</v>
      </c>
      <c r="I90" s="7">
        <f>G90*H90</f>
        <v/>
      </c>
      <c r="J90" s="16" t="inlineStr">
        <is>
          <t>لم يُجرد</t>
        </is>
      </c>
      <c r="K90" s="14" t="n">
        <v>0</v>
      </c>
      <c r="L90" s="14" t="n">
        <v>9</v>
      </c>
      <c r="M90" s="5" t="inlineStr"/>
      <c r="N90" s="5" t="inlineStr"/>
    </row>
    <row r="91">
      <c r="A91" s="13" t="inlineStr">
        <is>
          <t>00014722</t>
        </is>
      </c>
      <c r="B91" s="5" t="inlineStr">
        <is>
          <t>[00014722] NEUROBION 30TAB</t>
        </is>
      </c>
      <c r="C91" s="5" t="inlineStr">
        <is>
          <t>دواء</t>
        </is>
      </c>
      <c r="D91" s="13" t="inlineStr"/>
      <c r="E91" s="14">
        <f>L91-K91</f>
        <v/>
      </c>
      <c r="F91" s="14" t="n">
        <v>0</v>
      </c>
      <c r="G91" s="14">
        <f>F91-E91</f>
        <v/>
      </c>
      <c r="H91" s="7" t="n">
        <v>23.3</v>
      </c>
      <c r="I91" s="7">
        <f>G91*H91</f>
        <v/>
      </c>
      <c r="J91" s="16" t="inlineStr">
        <is>
          <t>لم يُجرد</t>
        </is>
      </c>
      <c r="K91" s="14" t="n">
        <v>0</v>
      </c>
      <c r="L91" s="14" t="n">
        <v>35</v>
      </c>
      <c r="M91" s="5" t="inlineStr"/>
      <c r="N91" s="5" t="inlineStr"/>
    </row>
    <row r="92">
      <c r="A92" s="13" t="inlineStr">
        <is>
          <t>0005121</t>
        </is>
      </c>
      <c r="B92" s="5" t="inlineStr">
        <is>
          <t>[0005121] PROTON 40MG 28TAB</t>
        </is>
      </c>
      <c r="C92" s="5" t="inlineStr">
        <is>
          <t>دواء</t>
        </is>
      </c>
      <c r="D92" s="13" t="inlineStr"/>
      <c r="E92" s="14">
        <f>L92-K92</f>
        <v/>
      </c>
      <c r="F92" s="14" t="n">
        <v>0</v>
      </c>
      <c r="G92" s="14">
        <f>F92-E92</f>
        <v/>
      </c>
      <c r="H92" s="7" t="n">
        <v>78</v>
      </c>
      <c r="I92" s="7">
        <f>G92*H92</f>
        <v/>
      </c>
      <c r="J92" s="16" t="inlineStr">
        <is>
          <t>لم يُجرد</t>
        </is>
      </c>
      <c r="K92" s="14" t="n">
        <v>0</v>
      </c>
      <c r="L92" s="14" t="n">
        <v>10</v>
      </c>
      <c r="M92" s="5" t="inlineStr"/>
      <c r="N92" s="5" t="inlineStr"/>
    </row>
    <row r="93">
      <c r="A93" s="13" t="inlineStr">
        <is>
          <t>00019505</t>
        </is>
      </c>
      <c r="B93" s="5" t="inlineStr">
        <is>
          <t>[00019505] LICAN CREAM 30GM</t>
        </is>
      </c>
      <c r="C93" s="5" t="inlineStr">
        <is>
          <t>دواء</t>
        </is>
      </c>
      <c r="D93" s="13" t="inlineStr"/>
      <c r="E93" s="14">
        <f>L93-K93</f>
        <v/>
      </c>
      <c r="F93" s="14" t="n">
        <v>0</v>
      </c>
      <c r="G93" s="14">
        <f>F93-E93</f>
        <v/>
      </c>
      <c r="H93" s="7" t="n">
        <v>58.8</v>
      </c>
      <c r="I93" s="7">
        <f>G93*H93</f>
        <v/>
      </c>
      <c r="J93" s="16" t="inlineStr">
        <is>
          <t>لم يُجرد</t>
        </is>
      </c>
      <c r="K93" s="14" t="n">
        <v>0</v>
      </c>
      <c r="L93" s="14" t="n">
        <v>17</v>
      </c>
      <c r="M93" s="5" t="inlineStr"/>
      <c r="N93" s="5" t="inlineStr"/>
    </row>
    <row r="94">
      <c r="A94" s="13" t="inlineStr">
        <is>
          <t>0005395</t>
        </is>
      </c>
      <c r="B94" s="5" t="inlineStr">
        <is>
          <t>[0005395] AVALON AVOCOM M CREAM 30GM</t>
        </is>
      </c>
      <c r="C94" s="5" t="inlineStr">
        <is>
          <t>دواء</t>
        </is>
      </c>
      <c r="D94" s="13" t="inlineStr">
        <is>
          <t>06285095004698</t>
        </is>
      </c>
      <c r="E94" s="14">
        <f>L94-K94</f>
        <v/>
      </c>
      <c r="F94" s="14" t="n">
        <v>0</v>
      </c>
      <c r="G94" s="14">
        <f>F94-E94</f>
        <v/>
      </c>
      <c r="H94" s="7" t="n">
        <v>23</v>
      </c>
      <c r="I94" s="7">
        <f>G94*H94</f>
        <v/>
      </c>
      <c r="J94" s="16" t="inlineStr">
        <is>
          <t>لم يُجرد</t>
        </is>
      </c>
      <c r="K94" s="14" t="n">
        <v>0</v>
      </c>
      <c r="L94" s="14" t="n">
        <v>35</v>
      </c>
      <c r="M94" s="5" t="inlineStr"/>
      <c r="N94" s="5" t="inlineStr"/>
    </row>
    <row r="95">
      <c r="A95" s="13" t="inlineStr">
        <is>
          <t>00043263</t>
        </is>
      </c>
      <c r="B95" s="5" t="inlineStr">
        <is>
          <t>[00043263] TOPFEROL 50000 VTAMIN D 20 TAB</t>
        </is>
      </c>
      <c r="C95" s="5" t="inlineStr">
        <is>
          <t>دواء</t>
        </is>
      </c>
      <c r="D95" s="13" t="inlineStr"/>
      <c r="E95" s="14">
        <f>L95-K95</f>
        <v/>
      </c>
      <c r="F95" s="14" t="n">
        <v>0</v>
      </c>
      <c r="G95" s="14">
        <f>F95-E95</f>
        <v/>
      </c>
      <c r="H95" s="7" t="n">
        <v>44.6</v>
      </c>
      <c r="I95" s="7">
        <f>G95*H95</f>
        <v/>
      </c>
      <c r="J95" s="16" t="inlineStr">
        <is>
          <t>لم يُجرد</t>
        </is>
      </c>
      <c r="K95" s="14" t="n">
        <v>0</v>
      </c>
      <c r="L95" s="14" t="n">
        <v>18</v>
      </c>
      <c r="M95" s="5" t="inlineStr"/>
      <c r="N95" s="5" t="inlineStr"/>
    </row>
    <row r="96">
      <c r="A96" s="13" t="inlineStr">
        <is>
          <t>00030150</t>
        </is>
      </c>
      <c r="B96" s="5" t="inlineStr">
        <is>
          <t>[00030150] FLEXALL ULTRA 500/500/72 MG TAB</t>
        </is>
      </c>
      <c r="C96" s="5" t="inlineStr">
        <is>
          <t>دواء</t>
        </is>
      </c>
      <c r="D96" s="13" t="inlineStr">
        <is>
          <t>06285128005326</t>
        </is>
      </c>
      <c r="E96" s="14">
        <f>L96-K96</f>
        <v/>
      </c>
      <c r="F96" s="14" t="n">
        <v>0</v>
      </c>
      <c r="G96" s="14">
        <f>F96-E96</f>
        <v/>
      </c>
      <c r="H96" s="7" t="n">
        <v>109.2</v>
      </c>
      <c r="I96" s="7">
        <f>G96*H96</f>
        <v/>
      </c>
      <c r="J96" s="16" t="inlineStr">
        <is>
          <t>لم يُجرد</t>
        </is>
      </c>
      <c r="K96" s="14" t="n">
        <v>0</v>
      </c>
      <c r="L96" s="14" t="n">
        <v>7</v>
      </c>
      <c r="M96" s="5" t="inlineStr"/>
      <c r="N96" s="5" t="inlineStr"/>
    </row>
    <row r="97">
      <c r="A97" s="13" t="inlineStr">
        <is>
          <t>00028746</t>
        </is>
      </c>
      <c r="B97" s="5" t="inlineStr">
        <is>
          <t>[00028746] ZZZQUIL NATURA 60 CAP</t>
        </is>
      </c>
      <c r="C97" s="5" t="inlineStr">
        <is>
          <t>دواء</t>
        </is>
      </c>
      <c r="D97" s="13" t="inlineStr">
        <is>
          <t>8006540908259</t>
        </is>
      </c>
      <c r="E97" s="14">
        <f>L97-K97</f>
        <v/>
      </c>
      <c r="F97" s="14" t="n">
        <v>0</v>
      </c>
      <c r="G97" s="14">
        <f>F97-E97</f>
        <v/>
      </c>
      <c r="H97" s="7" t="n">
        <v>138.31</v>
      </c>
      <c r="I97" s="7">
        <f>G97*H97</f>
        <v/>
      </c>
      <c r="J97" s="16" t="inlineStr">
        <is>
          <t>لم يُجرد</t>
        </is>
      </c>
      <c r="K97" s="14" t="n">
        <v>0</v>
      </c>
      <c r="L97" s="14" t="n">
        <v>6</v>
      </c>
      <c r="M97" s="5" t="inlineStr"/>
      <c r="N97" s="5" t="inlineStr"/>
    </row>
    <row r="98">
      <c r="A98" s="13" t="inlineStr">
        <is>
          <t>0003807</t>
        </is>
      </c>
      <c r="B98" s="5" t="inlineStr">
        <is>
          <t>[0003807] FEROSE F 30 TAB</t>
        </is>
      </c>
      <c r="C98" s="5" t="inlineStr">
        <is>
          <t>دواء</t>
        </is>
      </c>
      <c r="D98" s="13" t="inlineStr"/>
      <c r="E98" s="14">
        <f>L98-K98</f>
        <v/>
      </c>
      <c r="F98" s="14" t="n">
        <v>0</v>
      </c>
      <c r="G98" s="14">
        <f>F98-E98</f>
        <v/>
      </c>
      <c r="H98" s="7" t="n">
        <v>19.4</v>
      </c>
      <c r="I98" s="7">
        <f>G98*H98</f>
        <v/>
      </c>
      <c r="J98" s="16" t="inlineStr">
        <is>
          <t>لم يُجرد</t>
        </is>
      </c>
      <c r="K98" s="14" t="n">
        <v>0</v>
      </c>
      <c r="L98" s="14" t="n">
        <v>41</v>
      </c>
      <c r="M98" s="5" t="inlineStr"/>
      <c r="N98" s="5" t="inlineStr"/>
    </row>
    <row r="99">
      <c r="A99" s="13" t="inlineStr">
        <is>
          <t>0005052</t>
        </is>
      </c>
      <c r="B99" s="5" t="inlineStr">
        <is>
          <t>[0005052] ROFENAC 50 MG 20 TAB</t>
        </is>
      </c>
      <c r="C99" s="5" t="inlineStr">
        <is>
          <t>دواء</t>
        </is>
      </c>
      <c r="D99" s="13" t="inlineStr"/>
      <c r="E99" s="14">
        <f>L99-K99</f>
        <v/>
      </c>
      <c r="F99" s="14" t="n">
        <v>0</v>
      </c>
      <c r="G99" s="14">
        <f>F99-E99</f>
        <v/>
      </c>
      <c r="H99" s="7" t="n">
        <v>19.8</v>
      </c>
      <c r="I99" s="7">
        <f>G99*H99</f>
        <v/>
      </c>
      <c r="J99" s="16" t="inlineStr">
        <is>
          <t>لم يُجرد</t>
        </is>
      </c>
      <c r="K99" s="14" t="n">
        <v>0</v>
      </c>
      <c r="L99" s="14" t="n">
        <v>40</v>
      </c>
      <c r="M99" s="5" t="inlineStr"/>
      <c r="N99" s="5" t="inlineStr"/>
    </row>
    <row r="100">
      <c r="A100" s="13" t="inlineStr">
        <is>
          <t>0005665</t>
        </is>
      </c>
      <c r="B100" s="5" t="inlineStr">
        <is>
          <t>[0005665] MEBO OINTMENT 75 GM</t>
        </is>
      </c>
      <c r="C100" s="5" t="inlineStr">
        <is>
          <t>دواء</t>
        </is>
      </c>
      <c r="D100" s="13" t="inlineStr">
        <is>
          <t>06291100082223</t>
        </is>
      </c>
      <c r="E100" s="14">
        <f>L100-K100</f>
        <v/>
      </c>
      <c r="F100" s="14" t="n">
        <v>0</v>
      </c>
      <c r="G100" s="14">
        <f>F100-E100</f>
        <v/>
      </c>
      <c r="H100" s="7" t="n">
        <v>125</v>
      </c>
      <c r="I100" s="7">
        <f>G100*H100</f>
        <v/>
      </c>
      <c r="J100" s="16" t="inlineStr">
        <is>
          <t>لم يُجرد</t>
        </is>
      </c>
      <c r="K100" s="14" t="n">
        <v>0</v>
      </c>
      <c r="L100" s="14" t="n">
        <v>6</v>
      </c>
      <c r="M100" s="5" t="inlineStr"/>
      <c r="N100" s="5" t="inlineStr"/>
    </row>
    <row r="101">
      <c r="A101" s="13" t="inlineStr">
        <is>
          <t>0003280</t>
        </is>
      </c>
      <c r="B101" s="5" t="inlineStr">
        <is>
          <t>[0003280] LEVOX 500MG TAB</t>
        </is>
      </c>
      <c r="C101" s="5" t="inlineStr">
        <is>
          <t>دواء</t>
        </is>
      </c>
      <c r="D101" s="13" t="inlineStr">
        <is>
          <t>17200601210000003kc5</t>
        </is>
      </c>
      <c r="E101" s="14">
        <f>L101-K101</f>
        <v/>
      </c>
      <c r="F101" s="14" t="n">
        <v>0</v>
      </c>
      <c r="G101" s="14">
        <f>F101-E101</f>
        <v/>
      </c>
      <c r="H101" s="7" t="n">
        <v>67.75</v>
      </c>
      <c r="I101" s="7">
        <f>G101*H101</f>
        <v/>
      </c>
      <c r="J101" s="16" t="inlineStr">
        <is>
          <t>لم يُجرد</t>
        </is>
      </c>
      <c r="K101" s="14" t="n">
        <v>0</v>
      </c>
      <c r="L101" s="14" t="n">
        <v>11</v>
      </c>
      <c r="M101" s="5" t="inlineStr"/>
      <c r="N101" s="5" t="inlineStr"/>
    </row>
    <row r="102">
      <c r="A102" s="13" t="inlineStr">
        <is>
          <t>0003683</t>
        </is>
      </c>
      <c r="B102" s="5" t="inlineStr">
        <is>
          <t>[0003683] FUSIBACT CREAM 2% 15GM WASFA</t>
        </is>
      </c>
      <c r="C102" s="5" t="inlineStr">
        <is>
          <t>دواء</t>
        </is>
      </c>
      <c r="D102" s="13" t="inlineStr">
        <is>
          <t>06285128000444</t>
        </is>
      </c>
      <c r="E102" s="14">
        <f>L102-K102</f>
        <v/>
      </c>
      <c r="F102" s="14" t="n">
        <v>0</v>
      </c>
      <c r="G102" s="14">
        <f>F102-E102</f>
        <v/>
      </c>
      <c r="H102" s="7" t="n">
        <v>8.25</v>
      </c>
      <c r="I102" s="7">
        <f>G102*H102</f>
        <v/>
      </c>
      <c r="J102" s="16" t="inlineStr">
        <is>
          <t>لم يُجرد</t>
        </is>
      </c>
      <c r="K102" s="14" t="n">
        <v>0</v>
      </c>
      <c r="L102" s="14" t="n">
        <v>110</v>
      </c>
      <c r="M102" s="5" t="inlineStr"/>
      <c r="N102" s="5" t="inlineStr"/>
    </row>
    <row r="103">
      <c r="A103" s="13" t="inlineStr">
        <is>
          <t>0004207</t>
        </is>
      </c>
      <c r="B103" s="5" t="inlineStr">
        <is>
          <t>[0004207] DENTINOX INFANT COLIC DROPS 100ML</t>
        </is>
      </c>
      <c r="C103" s="5" t="inlineStr">
        <is>
          <t>دواء</t>
        </is>
      </c>
      <c r="D103" s="13" t="inlineStr">
        <is>
          <t>5011784050421</t>
        </is>
      </c>
      <c r="E103" s="14">
        <f>L103-K103</f>
        <v/>
      </c>
      <c r="F103" s="14" t="n">
        <v>0</v>
      </c>
      <c r="G103" s="14">
        <f>F103-E103</f>
        <v/>
      </c>
      <c r="H103" s="7" t="n">
        <v>37</v>
      </c>
      <c r="I103" s="7">
        <f>G103*H103</f>
        <v/>
      </c>
      <c r="J103" s="16" t="inlineStr">
        <is>
          <t>لم يُجرد</t>
        </is>
      </c>
      <c r="K103" s="14" t="n">
        <v>0</v>
      </c>
      <c r="L103" s="14" t="n">
        <v>27</v>
      </c>
      <c r="M103" s="5" t="inlineStr"/>
      <c r="N103" s="5" t="inlineStr"/>
    </row>
    <row r="104">
      <c r="A104" s="13" t="inlineStr">
        <is>
          <t>0005296</t>
        </is>
      </c>
      <c r="B104" s="5" t="inlineStr">
        <is>
          <t>[0005296] PANADOL EXTRA 24S TABLET</t>
        </is>
      </c>
      <c r="C104" s="5" t="inlineStr">
        <is>
          <t>دواء</t>
        </is>
      </c>
      <c r="D104" s="13" t="inlineStr">
        <is>
          <t>06285096000842</t>
        </is>
      </c>
      <c r="E104" s="14">
        <f>L104-K104</f>
        <v/>
      </c>
      <c r="F104" s="14" t="n">
        <v>0</v>
      </c>
      <c r="G104" s="14">
        <f>F104-E104</f>
        <v/>
      </c>
      <c r="H104" s="7" t="n">
        <v>8</v>
      </c>
      <c r="I104" s="7">
        <f>G104*H104</f>
        <v/>
      </c>
      <c r="J104" s="16" t="inlineStr">
        <is>
          <t>لم يُجرد</t>
        </is>
      </c>
      <c r="K104" s="14" t="n">
        <v>0</v>
      </c>
      <c r="L104" s="14" t="n">
        <v>96.5</v>
      </c>
      <c r="M104" s="5" t="inlineStr"/>
      <c r="N104" s="5" t="inlineStr"/>
    </row>
    <row r="105">
      <c r="A105" s="13" t="inlineStr">
        <is>
          <t>0004127</t>
        </is>
      </c>
      <c r="B105" s="5" t="inlineStr">
        <is>
          <t>[0004127] ADOL SYRUP 100ML</t>
        </is>
      </c>
      <c r="C105" s="5" t="inlineStr">
        <is>
          <t>دواء</t>
        </is>
      </c>
      <c r="D105" s="13" t="inlineStr">
        <is>
          <t>06291100082377</t>
        </is>
      </c>
      <c r="E105" s="14">
        <f>L105-K105</f>
        <v/>
      </c>
      <c r="F105" s="14" t="n">
        <v>0</v>
      </c>
      <c r="G105" s="14">
        <f>F105-E105</f>
        <v/>
      </c>
      <c r="H105" s="7" t="n">
        <v>5.8</v>
      </c>
      <c r="I105" s="7">
        <f>G105*H105</f>
        <v/>
      </c>
      <c r="J105" s="16" t="inlineStr">
        <is>
          <t>لم يُجرد</t>
        </is>
      </c>
      <c r="K105" s="14" t="n">
        <v>0</v>
      </c>
      <c r="L105" s="14" t="n">
        <v>133</v>
      </c>
      <c r="M105" s="5" t="inlineStr"/>
      <c r="N105" s="5" t="inlineStr"/>
    </row>
    <row r="106">
      <c r="A106" s="13" t="inlineStr">
        <is>
          <t>0004297</t>
        </is>
      </c>
      <c r="B106" s="5" t="inlineStr">
        <is>
          <t>[0004297] CENTRUM WITH LUTEIN 100 TAB 74139</t>
        </is>
      </c>
      <c r="C106" s="5" t="inlineStr">
        <is>
          <t>دواء</t>
        </is>
      </c>
      <c r="D106" s="13" t="inlineStr">
        <is>
          <t>06286740000027</t>
        </is>
      </c>
      <c r="E106" s="14">
        <f>L106-K106</f>
        <v/>
      </c>
      <c r="F106" s="14" t="n">
        <v>0</v>
      </c>
      <c r="G106" s="14">
        <f>F106-E106</f>
        <v/>
      </c>
      <c r="H106" s="7" t="n">
        <v>55</v>
      </c>
      <c r="I106" s="7">
        <f>G106*H106</f>
        <v/>
      </c>
      <c r="J106" s="16" t="inlineStr">
        <is>
          <t>لم يُجرد</t>
        </is>
      </c>
      <c r="K106" s="14" t="n">
        <v>0</v>
      </c>
      <c r="L106" s="14" t="n">
        <v>14</v>
      </c>
      <c r="M106" s="5" t="inlineStr"/>
      <c r="N106" s="5" t="inlineStr"/>
    </row>
    <row r="107">
      <c r="A107" s="13" t="inlineStr">
        <is>
          <t>0005022</t>
        </is>
      </c>
      <c r="B107" s="5" t="inlineStr">
        <is>
          <t>[0005022] HYOPAN SYRUP 100ML</t>
        </is>
      </c>
      <c r="C107" s="5" t="inlineStr">
        <is>
          <t>دواء</t>
        </is>
      </c>
      <c r="D107" s="13" t="inlineStr">
        <is>
          <t>01062850850001291721</t>
        </is>
      </c>
      <c r="E107" s="14">
        <f>L107-K107</f>
        <v/>
      </c>
      <c r="F107" s="14" t="n">
        <v>0</v>
      </c>
      <c r="G107" s="14">
        <f>F107-E107</f>
        <v/>
      </c>
      <c r="H107" s="7" t="n">
        <v>10.8</v>
      </c>
      <c r="I107" s="7">
        <f>G107*H107</f>
        <v/>
      </c>
      <c r="J107" s="16" t="inlineStr">
        <is>
          <t>لم يُجرد</t>
        </is>
      </c>
      <c r="K107" s="14" t="n">
        <v>0</v>
      </c>
      <c r="L107" s="14" t="n">
        <v>72</v>
      </c>
      <c r="M107" s="5" t="inlineStr"/>
      <c r="N107" s="5" t="inlineStr"/>
    </row>
    <row r="108">
      <c r="A108" s="13" t="inlineStr">
        <is>
          <t>00016295</t>
        </is>
      </c>
      <c r="B108" s="5" t="inlineStr">
        <is>
          <t>[00016295] OLOPAT 01% U.D.EYE DROPS</t>
        </is>
      </c>
      <c r="C108" s="5" t="inlineStr">
        <is>
          <t>دواء</t>
        </is>
      </c>
      <c r="D108" s="13" t="inlineStr"/>
      <c r="E108" s="14">
        <f>L108-K108</f>
        <v/>
      </c>
      <c r="F108" s="14" t="n">
        <v>0</v>
      </c>
      <c r="G108" s="14">
        <f>F108-E108</f>
        <v/>
      </c>
      <c r="H108" s="7" t="n">
        <v>58.7</v>
      </c>
      <c r="I108" s="7">
        <f>G108*H108</f>
        <v/>
      </c>
      <c r="J108" s="16" t="inlineStr">
        <is>
          <t>لم يُجرد</t>
        </is>
      </c>
      <c r="K108" s="14" t="n">
        <v>0</v>
      </c>
      <c r="L108" s="14" t="n">
        <v>13</v>
      </c>
      <c r="M108" s="5" t="inlineStr"/>
      <c r="N108" s="5" t="inlineStr"/>
    </row>
    <row r="109">
      <c r="A109" s="13" t="inlineStr">
        <is>
          <t>0004850</t>
        </is>
      </c>
      <c r="B109" s="5" t="inlineStr">
        <is>
          <t>[0004850] SUDO CREAM 125GM</t>
        </is>
      </c>
      <c r="C109" s="5" t="inlineStr">
        <is>
          <t>دواء</t>
        </is>
      </c>
      <c r="D109" s="13" t="inlineStr">
        <is>
          <t>5011025044004</t>
        </is>
      </c>
      <c r="E109" s="14">
        <f>L109-K109</f>
        <v/>
      </c>
      <c r="F109" s="14" t="n">
        <v>0</v>
      </c>
      <c r="G109" s="14">
        <f>F109-E109</f>
        <v/>
      </c>
      <c r="H109" s="7" t="n">
        <v>41.8</v>
      </c>
      <c r="I109" s="7">
        <f>G109*H109</f>
        <v/>
      </c>
      <c r="J109" s="16" t="inlineStr">
        <is>
          <t>لم يُجرد</t>
        </is>
      </c>
      <c r="K109" s="14" t="n">
        <v>0</v>
      </c>
      <c r="L109" s="14" t="n">
        <v>18</v>
      </c>
      <c r="M109" s="5" t="inlineStr"/>
      <c r="N109" s="5" t="inlineStr"/>
    </row>
    <row r="110">
      <c r="A110" s="13" t="inlineStr">
        <is>
          <t>0004804</t>
        </is>
      </c>
      <c r="B110" s="5" t="inlineStr">
        <is>
          <t>[0004804] SKINOREN CREAM 30GM</t>
        </is>
      </c>
      <c r="C110" s="5" t="inlineStr">
        <is>
          <t>دواء</t>
        </is>
      </c>
      <c r="D110" s="13" t="inlineStr"/>
      <c r="E110" s="14">
        <f>L110-K110</f>
        <v/>
      </c>
      <c r="F110" s="14" t="n">
        <v>0</v>
      </c>
      <c r="G110" s="14">
        <f>F110-E110</f>
        <v/>
      </c>
      <c r="H110" s="7" t="n">
        <v>32.7</v>
      </c>
      <c r="I110" s="7">
        <f>G110*H110</f>
        <v/>
      </c>
      <c r="J110" s="16" t="inlineStr">
        <is>
          <t>لم يُجرد</t>
        </is>
      </c>
      <c r="K110" s="14" t="n">
        <v>0</v>
      </c>
      <c r="L110" s="14" t="n">
        <v>23</v>
      </c>
      <c r="M110" s="5" t="inlineStr"/>
      <c r="N110" s="5" t="inlineStr"/>
    </row>
    <row r="111">
      <c r="A111" s="13" t="inlineStr">
        <is>
          <t>00033262</t>
        </is>
      </c>
      <c r="B111" s="5" t="inlineStr">
        <is>
          <t>[00033262] SAPOFEN 400MG 30 TAB</t>
        </is>
      </c>
      <c r="C111" s="5" t="inlineStr">
        <is>
          <t>دواء</t>
        </is>
      </c>
      <c r="D111" s="13" t="inlineStr"/>
      <c r="E111" s="14">
        <f>L111-K111</f>
        <v/>
      </c>
      <c r="F111" s="14" t="n">
        <v>0</v>
      </c>
      <c r="G111" s="14">
        <f>F111-E111</f>
        <v/>
      </c>
      <c r="H111" s="7" t="n">
        <v>13.6</v>
      </c>
      <c r="I111" s="7">
        <f>G111*H111</f>
        <v/>
      </c>
      <c r="J111" s="16" t="inlineStr">
        <is>
          <t>لم يُجرد</t>
        </is>
      </c>
      <c r="K111" s="14" t="n">
        <v>0</v>
      </c>
      <c r="L111" s="14" t="n">
        <v>55</v>
      </c>
      <c r="M111" s="5" t="inlineStr"/>
      <c r="N111" s="5" t="inlineStr"/>
    </row>
    <row r="112">
      <c r="A112" s="13" t="inlineStr">
        <is>
          <t>0005263</t>
        </is>
      </c>
      <c r="B112" s="5" t="inlineStr">
        <is>
          <t>[0005263] PEPTAZOL 15MG 14 CAPS</t>
        </is>
      </c>
      <c r="C112" s="5" t="inlineStr">
        <is>
          <t>دواء</t>
        </is>
      </c>
      <c r="D112" s="13" t="inlineStr">
        <is>
          <t>01062810860019741012</t>
        </is>
      </c>
      <c r="E112" s="14">
        <f>L112-K112</f>
        <v/>
      </c>
      <c r="F112" s="14" t="n">
        <v>0</v>
      </c>
      <c r="G112" s="14">
        <f>F112-E112</f>
        <v/>
      </c>
      <c r="H112" s="7" t="n">
        <v>22.95</v>
      </c>
      <c r="I112" s="7">
        <f>G112*H112</f>
        <v/>
      </c>
      <c r="J112" s="16" t="inlineStr">
        <is>
          <t>لم يُجرد</t>
        </is>
      </c>
      <c r="K112" s="14" t="n">
        <v>0</v>
      </c>
      <c r="L112" s="14" t="n">
        <v>32.5</v>
      </c>
      <c r="M112" s="5" t="inlineStr"/>
      <c r="N112" s="5" t="inlineStr"/>
    </row>
    <row r="113">
      <c r="A113" s="13" t="inlineStr">
        <is>
          <t>00041301</t>
        </is>
      </c>
      <c r="B113" s="5" t="inlineStr">
        <is>
          <t>[00041301] SS OMEGA 3 MAX 30CAP 1900</t>
        </is>
      </c>
      <c r="C113" s="5" t="inlineStr">
        <is>
          <t>دواء</t>
        </is>
      </c>
      <c r="D113" s="13" t="inlineStr">
        <is>
          <t>8700216531900</t>
        </is>
      </c>
      <c r="E113" s="14">
        <f>L113-K113</f>
        <v/>
      </c>
      <c r="F113" s="14" t="n">
        <v>0</v>
      </c>
      <c r="G113" s="14">
        <f>F113-E113</f>
        <v/>
      </c>
      <c r="H113" s="7" t="n">
        <v>139.18</v>
      </c>
      <c r="I113" s="7">
        <f>G113*H113</f>
        <v/>
      </c>
      <c r="J113" s="16" t="inlineStr">
        <is>
          <t>لم يُجرد</t>
        </is>
      </c>
      <c r="K113" s="14" t="n">
        <v>0</v>
      </c>
      <c r="L113" s="14" t="n">
        <v>6</v>
      </c>
      <c r="M113" s="5" t="inlineStr"/>
      <c r="N113" s="5" t="inlineStr"/>
    </row>
    <row r="114">
      <c r="A114" s="13" t="inlineStr">
        <is>
          <t>0005642</t>
        </is>
      </c>
      <c r="B114" s="5" t="inlineStr">
        <is>
          <t>[0005642] AVALON AVOQUIN 4% 50GM CREAM</t>
        </is>
      </c>
      <c r="C114" s="5" t="inlineStr">
        <is>
          <t>دواء</t>
        </is>
      </c>
      <c r="D114" s="13" t="inlineStr">
        <is>
          <t>06285095004599</t>
        </is>
      </c>
      <c r="E114" s="14">
        <f>L114-K114</f>
        <v/>
      </c>
      <c r="F114" s="14" t="n">
        <v>0</v>
      </c>
      <c r="G114" s="14">
        <f>F114-E114</f>
        <v/>
      </c>
      <c r="H114" s="7" t="n">
        <v>33.65</v>
      </c>
      <c r="I114" s="7">
        <f>G114*H114</f>
        <v/>
      </c>
      <c r="J114" s="16" t="inlineStr">
        <is>
          <t>لم يُجرد</t>
        </is>
      </c>
      <c r="K114" s="14" t="n">
        <v>0</v>
      </c>
      <c r="L114" s="14" t="n">
        <v>22</v>
      </c>
      <c r="M114" s="5" t="inlineStr"/>
      <c r="N114" s="5" t="inlineStr"/>
    </row>
    <row r="115">
      <c r="A115" s="13" t="inlineStr">
        <is>
          <t>0005818</t>
        </is>
      </c>
      <c r="B115" s="5" t="inlineStr">
        <is>
          <t>[0005818] ATORVA 20MG 30TAB*****</t>
        </is>
      </c>
      <c r="C115" s="5" t="inlineStr">
        <is>
          <t>دواء</t>
        </is>
      </c>
      <c r="D115" s="13" t="inlineStr">
        <is>
          <t>06285101001017</t>
        </is>
      </c>
      <c r="E115" s="14">
        <f>L115-K115</f>
        <v/>
      </c>
      <c r="F115" s="14" t="n">
        <v>0</v>
      </c>
      <c r="G115" s="14">
        <f>F115-E115</f>
        <v/>
      </c>
      <c r="H115" s="7" t="n">
        <v>43.45</v>
      </c>
      <c r="I115" s="7">
        <f>G115*H115</f>
        <v/>
      </c>
      <c r="J115" s="16" t="inlineStr">
        <is>
          <t>لم يُجرد</t>
        </is>
      </c>
      <c r="K115" s="14" t="n">
        <v>0</v>
      </c>
      <c r="L115" s="14" t="n">
        <v>17</v>
      </c>
      <c r="M115" s="5" t="inlineStr"/>
      <c r="N115" s="5" t="inlineStr"/>
    </row>
    <row r="116">
      <c r="A116" s="13" t="inlineStr">
        <is>
          <t>0004846</t>
        </is>
      </c>
      <c r="B116" s="5" t="inlineStr">
        <is>
          <t>[0004846] STREPSILS SUGAR 16 FREE LEMON LOZ</t>
        </is>
      </c>
      <c r="C116" s="5" t="inlineStr">
        <is>
          <t>دواء</t>
        </is>
      </c>
      <c r="D116" s="13" t="inlineStr">
        <is>
          <t>5000167023978</t>
        </is>
      </c>
      <c r="E116" s="14">
        <f>L116-K116</f>
        <v/>
      </c>
      <c r="F116" s="14" t="n">
        <v>0</v>
      </c>
      <c r="G116" s="14">
        <f>F116-E116</f>
        <v/>
      </c>
      <c r="H116" s="7" t="n">
        <v>30.5</v>
      </c>
      <c r="I116" s="7">
        <f>G116*H116</f>
        <v/>
      </c>
      <c r="J116" s="16" t="inlineStr">
        <is>
          <t>لم يُجرد</t>
        </is>
      </c>
      <c r="K116" s="14" t="n">
        <v>0</v>
      </c>
      <c r="L116" s="14" t="n">
        <v>23.5</v>
      </c>
      <c r="M116" s="5" t="inlineStr"/>
      <c r="N116" s="5" t="inlineStr"/>
    </row>
    <row r="117">
      <c r="A117" s="13" t="inlineStr">
        <is>
          <t>0004608</t>
        </is>
      </c>
      <c r="B117" s="5" t="inlineStr">
        <is>
          <t>[0004608] VERINE 200MG SR 30CAP</t>
        </is>
      </c>
      <c r="C117" s="5" t="inlineStr">
        <is>
          <t>دواء</t>
        </is>
      </c>
      <c r="D117" s="13" t="inlineStr"/>
      <c r="E117" s="14">
        <f>L117-K117</f>
        <v/>
      </c>
      <c r="F117" s="14" t="n">
        <v>0</v>
      </c>
      <c r="G117" s="14">
        <f>F117-E117</f>
        <v/>
      </c>
      <c r="H117" s="7" t="n">
        <v>43.2</v>
      </c>
      <c r="I117" s="7">
        <f>G117*H117</f>
        <v/>
      </c>
      <c r="J117" s="16" t="inlineStr">
        <is>
          <t>لم يُجرد</t>
        </is>
      </c>
      <c r="K117" s="14" t="n">
        <v>0</v>
      </c>
      <c r="L117" s="14" t="n">
        <v>17</v>
      </c>
      <c r="M117" s="5" t="inlineStr"/>
      <c r="N117" s="5" t="inlineStr"/>
    </row>
    <row r="118">
      <c r="A118" s="13" t="inlineStr">
        <is>
          <t>0005302</t>
        </is>
      </c>
      <c r="B118" s="5" t="inlineStr">
        <is>
          <t>[0005302] PANTOMAX 40MG 30 TAB</t>
        </is>
      </c>
      <c r="C118" s="5" t="inlineStr">
        <is>
          <t>دواء</t>
        </is>
      </c>
      <c r="D118" s="13" t="inlineStr">
        <is>
          <t>01062850940001272150</t>
        </is>
      </c>
      <c r="E118" s="14">
        <f>L118-K118</f>
        <v/>
      </c>
      <c r="F118" s="14" t="n">
        <v>0</v>
      </c>
      <c r="G118" s="14">
        <f>F118-E118</f>
        <v/>
      </c>
      <c r="H118" s="7" t="n">
        <v>56.45</v>
      </c>
      <c r="I118" s="7">
        <f>G118*H118</f>
        <v/>
      </c>
      <c r="J118" s="16" t="inlineStr">
        <is>
          <t>لم يُجرد</t>
        </is>
      </c>
      <c r="K118" s="14" t="n">
        <v>0</v>
      </c>
      <c r="L118" s="14" t="n">
        <v>13</v>
      </c>
      <c r="M118" s="5" t="inlineStr"/>
      <c r="N118" s="5" t="inlineStr"/>
    </row>
    <row r="119">
      <c r="A119" s="13" t="inlineStr">
        <is>
          <t>0003776</t>
        </is>
      </c>
      <c r="B119" s="5" t="inlineStr">
        <is>
          <t>[0003776] FEVADOL PLUS 20 TAB</t>
        </is>
      </c>
      <c r="C119" s="5" t="inlineStr">
        <is>
          <t>دواء</t>
        </is>
      </c>
      <c r="D119" s="13" t="inlineStr">
        <is>
          <t>06281086000533</t>
        </is>
      </c>
      <c r="E119" s="14">
        <f>L119-K119</f>
        <v/>
      </c>
      <c r="F119" s="14" t="n">
        <v>0</v>
      </c>
      <c r="G119" s="14">
        <f>F119-E119</f>
        <v/>
      </c>
      <c r="H119" s="7" t="n">
        <v>9.65</v>
      </c>
      <c r="I119" s="7">
        <f>G119*H119</f>
        <v/>
      </c>
      <c r="J119" s="16" t="inlineStr">
        <is>
          <t>لم يُجرد</t>
        </is>
      </c>
      <c r="K119" s="14" t="n">
        <v>0</v>
      </c>
      <c r="L119" s="14" t="n">
        <v>75</v>
      </c>
      <c r="M119" s="5" t="inlineStr"/>
      <c r="N119" s="5" t="inlineStr"/>
    </row>
    <row r="120">
      <c r="A120" s="13" t="inlineStr">
        <is>
          <t>00026206</t>
        </is>
      </c>
      <c r="B120" s="5" t="inlineStr">
        <is>
          <t>[00026206] PEXAPAN 2.5MG 60TAB WASFA</t>
        </is>
      </c>
      <c r="C120" s="5" t="inlineStr">
        <is>
          <t>دواء</t>
        </is>
      </c>
      <c r="D120" s="13" t="inlineStr"/>
      <c r="E120" s="14">
        <f>L120-K120</f>
        <v/>
      </c>
      <c r="F120" s="14" t="n">
        <v>0</v>
      </c>
      <c r="G120" s="14">
        <f>F120-E120</f>
        <v/>
      </c>
      <c r="H120" s="7" t="n">
        <v>231</v>
      </c>
      <c r="I120" s="7">
        <f>G120*H120</f>
        <v/>
      </c>
      <c r="J120" s="16" t="inlineStr">
        <is>
          <t>لم يُجرد</t>
        </is>
      </c>
      <c r="K120" s="14" t="n">
        <v>0</v>
      </c>
      <c r="L120" s="14" t="n">
        <v>3</v>
      </c>
      <c r="M120" s="5" t="inlineStr"/>
      <c r="N120" s="5" t="inlineStr"/>
    </row>
    <row r="121">
      <c r="A121" s="13" t="inlineStr">
        <is>
          <t>00026218</t>
        </is>
      </c>
      <c r="B121" s="5" t="inlineStr">
        <is>
          <t>[00026218] ROXONIN TAPE 100MG 7SHEETS</t>
        </is>
      </c>
      <c r="C121" s="5" t="inlineStr">
        <is>
          <t>دواء</t>
        </is>
      </c>
      <c r="D121" s="13" t="inlineStr"/>
      <c r="E121" s="14">
        <f>L121-K121</f>
        <v/>
      </c>
      <c r="F121" s="14" t="n">
        <v>0</v>
      </c>
      <c r="G121" s="14">
        <f>F121-E121</f>
        <v/>
      </c>
      <c r="H121" s="7" t="n">
        <v>37.95</v>
      </c>
      <c r="I121" s="7">
        <f>G121*H121</f>
        <v/>
      </c>
      <c r="J121" s="16" t="inlineStr">
        <is>
          <t>لم يُجرد</t>
        </is>
      </c>
      <c r="K121" s="14" t="n">
        <v>0</v>
      </c>
      <c r="L121" s="14" t="n">
        <v>19</v>
      </c>
      <c r="M121" s="5" t="inlineStr"/>
      <c r="N121" s="5" t="inlineStr"/>
    </row>
    <row r="122">
      <c r="A122" s="13" t="inlineStr">
        <is>
          <t>0005393</t>
        </is>
      </c>
      <c r="B122" s="5" t="inlineStr">
        <is>
          <t>[0005393] NUROFEN PEDIATRIC SYRUP 150ML</t>
        </is>
      </c>
      <c r="C122" s="5" t="inlineStr">
        <is>
          <t>دواء</t>
        </is>
      </c>
      <c r="D122" s="13" t="inlineStr">
        <is>
          <t>06295120005385</t>
        </is>
      </c>
      <c r="E122" s="14">
        <f>L122-K122</f>
        <v/>
      </c>
      <c r="F122" s="14" t="n">
        <v>0</v>
      </c>
      <c r="G122" s="14">
        <f>F122-E122</f>
        <v/>
      </c>
      <c r="H122" s="7" t="n">
        <v>17.15</v>
      </c>
      <c r="I122" s="7">
        <f>G122*H122</f>
        <v/>
      </c>
      <c r="J122" s="16" t="inlineStr">
        <is>
          <t>لم يُجرد</t>
        </is>
      </c>
      <c r="K122" s="14" t="n">
        <v>0</v>
      </c>
      <c r="L122" s="14" t="n">
        <v>42</v>
      </c>
      <c r="M122" s="5" t="inlineStr"/>
      <c r="N122" s="5" t="inlineStr"/>
    </row>
    <row r="123">
      <c r="A123" s="13" t="inlineStr">
        <is>
          <t>0003806</t>
        </is>
      </c>
      <c r="B123" s="5" t="inlineStr">
        <is>
          <t>[0003806] FEROSE 30 TAB</t>
        </is>
      </c>
      <c r="C123" s="5" t="inlineStr">
        <is>
          <t>دواء</t>
        </is>
      </c>
      <c r="D123" s="13" t="inlineStr">
        <is>
          <t>06281086010549</t>
        </is>
      </c>
      <c r="E123" s="14">
        <f>L123-K123</f>
        <v/>
      </c>
      <c r="F123" s="14" t="n">
        <v>0</v>
      </c>
      <c r="G123" s="14">
        <f>F123-E123</f>
        <v/>
      </c>
      <c r="H123" s="7" t="n">
        <v>19.3</v>
      </c>
      <c r="I123" s="7">
        <f>G123*H123</f>
        <v/>
      </c>
      <c r="J123" s="16" t="inlineStr">
        <is>
          <t>لم يُجرد</t>
        </is>
      </c>
      <c r="K123" s="14" t="n">
        <v>0</v>
      </c>
      <c r="L123" s="14" t="n">
        <v>37</v>
      </c>
      <c r="M123" s="5" t="inlineStr"/>
      <c r="N123" s="5" t="inlineStr"/>
    </row>
    <row r="124">
      <c r="A124" s="13" t="inlineStr">
        <is>
          <t>00020624</t>
        </is>
      </c>
      <c r="B124" s="5" t="inlineStr">
        <is>
          <t>[00020624] RAVIXA 75MG 30TAB WASFA</t>
        </is>
      </c>
      <c r="C124" s="5" t="inlineStr">
        <is>
          <t>دواء</t>
        </is>
      </c>
      <c r="D124" s="13" t="inlineStr"/>
      <c r="E124" s="14">
        <f>L124-K124</f>
        <v/>
      </c>
      <c r="F124" s="14" t="n">
        <v>0</v>
      </c>
      <c r="G124" s="14">
        <f>F124-E124</f>
        <v/>
      </c>
      <c r="H124" s="7" t="n">
        <v>158</v>
      </c>
      <c r="I124" s="7">
        <f>G124*H124</f>
        <v/>
      </c>
      <c r="J124" s="16" t="inlineStr">
        <is>
          <t>لم يُجرد</t>
        </is>
      </c>
      <c r="K124" s="14" t="n">
        <v>0</v>
      </c>
      <c r="L124" s="14" t="n">
        <v>5</v>
      </c>
      <c r="M124" s="5" t="inlineStr"/>
      <c r="N124" s="5" t="inlineStr"/>
    </row>
    <row r="125">
      <c r="A125" s="13" t="inlineStr">
        <is>
          <t>00044321</t>
        </is>
      </c>
      <c r="B125" s="5" t="inlineStr">
        <is>
          <t>[00044321] FEROTON 20MG IV 5 AMP WASFA</t>
        </is>
      </c>
      <c r="C125" s="5" t="inlineStr">
        <is>
          <t>دواء</t>
        </is>
      </c>
      <c r="D125" s="13" t="inlineStr">
        <is>
          <t>06285128000383</t>
        </is>
      </c>
      <c r="E125" s="14">
        <f>L125-K125</f>
        <v/>
      </c>
      <c r="F125" s="14" t="n">
        <v>0</v>
      </c>
      <c r="G125" s="14">
        <f>F125-E125</f>
        <v/>
      </c>
      <c r="H125" s="7" t="n">
        <v>84.59999999999999</v>
      </c>
      <c r="I125" s="7">
        <f>G125*H125</f>
        <v/>
      </c>
      <c r="J125" s="16" t="inlineStr">
        <is>
          <t>لم يُجرد</t>
        </is>
      </c>
      <c r="K125" s="14" t="n">
        <v>0</v>
      </c>
      <c r="L125" s="14" t="n">
        <v>8</v>
      </c>
      <c r="M125" s="5" t="inlineStr"/>
      <c r="N125" s="5" t="inlineStr"/>
    </row>
    <row r="126">
      <c r="A126" s="13" t="inlineStr">
        <is>
          <t>0005404</t>
        </is>
      </c>
      <c r="B126" s="5" t="inlineStr">
        <is>
          <t>[0005404] OLOPAT 01% EYE DROPS 5 ML******</t>
        </is>
      </c>
      <c r="C126" s="5" t="inlineStr">
        <is>
          <t>دواء</t>
        </is>
      </c>
      <c r="D126" s="13" t="inlineStr">
        <is>
          <t>010628512800063510UN</t>
        </is>
      </c>
      <c r="E126" s="14">
        <f>L126-K126</f>
        <v/>
      </c>
      <c r="F126" s="14" t="n">
        <v>0</v>
      </c>
      <c r="G126" s="14">
        <f>F126-E126</f>
        <v/>
      </c>
      <c r="H126" s="7" t="n">
        <v>22.05</v>
      </c>
      <c r="I126" s="7">
        <f>G126*H126</f>
        <v/>
      </c>
      <c r="J126" s="16" t="inlineStr">
        <is>
          <t>لم يُجرد</t>
        </is>
      </c>
      <c r="K126" s="14" t="n">
        <v>0</v>
      </c>
      <c r="L126" s="14" t="n">
        <v>32</v>
      </c>
      <c r="M126" s="5" t="inlineStr"/>
      <c r="N126" s="5" t="inlineStr"/>
    </row>
    <row r="127">
      <c r="A127" s="13" t="inlineStr">
        <is>
          <t>0004246</t>
        </is>
      </c>
      <c r="B127" s="5" t="inlineStr">
        <is>
          <t>[0004246] CIPROXEN 500 MG 10 TAB WASFA</t>
        </is>
      </c>
      <c r="C127" s="5" t="inlineStr">
        <is>
          <t>دواء</t>
        </is>
      </c>
      <c r="D127" s="13" t="inlineStr">
        <is>
          <t>06285128000246</t>
        </is>
      </c>
      <c r="E127" s="14">
        <f>L127-K127</f>
        <v/>
      </c>
      <c r="F127" s="14" t="n">
        <v>0</v>
      </c>
      <c r="G127" s="14">
        <f>F127-E127</f>
        <v/>
      </c>
      <c r="H127" s="7" t="n">
        <v>54.25</v>
      </c>
      <c r="I127" s="7">
        <f>G127*H127</f>
        <v/>
      </c>
      <c r="J127" s="16" t="inlineStr">
        <is>
          <t>لم يُجرد</t>
        </is>
      </c>
      <c r="K127" s="14" t="n">
        <v>0</v>
      </c>
      <c r="L127" s="14" t="n">
        <v>23</v>
      </c>
      <c r="M127" s="5" t="inlineStr"/>
      <c r="N127" s="5" t="inlineStr"/>
    </row>
    <row r="128">
      <c r="A128" s="13" t="inlineStr">
        <is>
          <t>0003098</t>
        </is>
      </c>
      <c r="B128" s="5" t="inlineStr">
        <is>
          <t>[0003098] SAVY SYRUP 100ML</t>
        </is>
      </c>
      <c r="C128" s="5" t="inlineStr">
        <is>
          <t>دواء</t>
        </is>
      </c>
      <c r="D128" s="13" t="inlineStr">
        <is>
          <t>06281086240311</t>
        </is>
      </c>
      <c r="E128" s="14">
        <f>L128-K128</f>
        <v/>
      </c>
      <c r="F128" s="14" t="n">
        <v>0</v>
      </c>
      <c r="G128" s="14">
        <f>F128-E128</f>
        <v/>
      </c>
      <c r="H128" s="7" t="n">
        <v>49.75</v>
      </c>
      <c r="I128" s="7">
        <f>G128*H128</f>
        <v/>
      </c>
      <c r="J128" s="16" t="inlineStr">
        <is>
          <t>لم يُجرد</t>
        </is>
      </c>
      <c r="K128" s="14" t="n">
        <v>0</v>
      </c>
      <c r="L128" s="14" t="n">
        <v>14</v>
      </c>
      <c r="M128" s="5" t="inlineStr"/>
      <c r="N128" s="5" t="inlineStr"/>
    </row>
    <row r="129">
      <c r="A129" s="13" t="inlineStr">
        <is>
          <t>0004739</t>
        </is>
      </c>
      <c r="B129" s="5" t="inlineStr">
        <is>
          <t>[0004739] SYMBICORT 160 CG 120 TURBUH</t>
        </is>
      </c>
      <c r="C129" s="5" t="inlineStr">
        <is>
          <t>دواء</t>
        </is>
      </c>
      <c r="D129" s="13" t="inlineStr">
        <is>
          <t>7321839712005</t>
        </is>
      </c>
      <c r="E129" s="14">
        <f>L129-K129</f>
        <v/>
      </c>
      <c r="F129" s="14" t="n">
        <v>0</v>
      </c>
      <c r="G129" s="14">
        <f>F129-E129</f>
        <v/>
      </c>
      <c r="H129" s="7" t="n">
        <v>169.8</v>
      </c>
      <c r="I129" s="7">
        <f>G129*H129</f>
        <v/>
      </c>
      <c r="J129" s="16" t="inlineStr">
        <is>
          <t>لم يُجرد</t>
        </is>
      </c>
      <c r="K129" s="14" t="n">
        <v>0</v>
      </c>
      <c r="L129" s="14" t="n">
        <v>4</v>
      </c>
      <c r="M129" s="5" t="inlineStr"/>
      <c r="N129" s="5" t="inlineStr"/>
    </row>
    <row r="130">
      <c r="A130" s="13" t="inlineStr">
        <is>
          <t>0005278</t>
        </is>
      </c>
      <c r="B130" s="5" t="inlineStr">
        <is>
          <t>[0005278] PIGMANORM CREAM 30GM</t>
        </is>
      </c>
      <c r="C130" s="5" t="inlineStr">
        <is>
          <t>دواء</t>
        </is>
      </c>
      <c r="D130" s="13" t="inlineStr">
        <is>
          <t>06281080012419</t>
        </is>
      </c>
      <c r="E130" s="14">
        <f>L130-K130</f>
        <v/>
      </c>
      <c r="F130" s="14" t="n">
        <v>0</v>
      </c>
      <c r="G130" s="14">
        <f>F130-E130</f>
        <v/>
      </c>
      <c r="H130" s="7" t="n">
        <v>63.1</v>
      </c>
      <c r="I130" s="7">
        <f>G130*H130</f>
        <v/>
      </c>
      <c r="J130" s="16" t="inlineStr">
        <is>
          <t>لم يُجرد</t>
        </is>
      </c>
      <c r="K130" s="14" t="n">
        <v>0</v>
      </c>
      <c r="L130" s="14" t="n">
        <v>11</v>
      </c>
      <c r="M130" s="5" t="inlineStr"/>
      <c r="N130" s="5" t="inlineStr"/>
    </row>
    <row r="131">
      <c r="A131" s="13" t="inlineStr">
        <is>
          <t>00024231</t>
        </is>
      </c>
      <c r="B131" s="5" t="inlineStr">
        <is>
          <t>[00024231] JP VITALIFE 100 CAP</t>
        </is>
      </c>
      <c r="C131" s="5" t="inlineStr">
        <is>
          <t>دواء</t>
        </is>
      </c>
      <c r="D131" s="13" t="inlineStr">
        <is>
          <t>06285128024716</t>
        </is>
      </c>
      <c r="E131" s="14">
        <f>L131-K131</f>
        <v/>
      </c>
      <c r="F131" s="14" t="n">
        <v>0</v>
      </c>
      <c r="G131" s="14">
        <f>F131-E131</f>
        <v/>
      </c>
      <c r="H131" s="7" t="n">
        <v>110.65</v>
      </c>
      <c r="I131" s="7">
        <f>G131*H131</f>
        <v/>
      </c>
      <c r="J131" s="16" t="inlineStr">
        <is>
          <t>لم يُجرد</t>
        </is>
      </c>
      <c r="K131" s="14" t="n">
        <v>0</v>
      </c>
      <c r="L131" s="14" t="n">
        <v>6</v>
      </c>
      <c r="M131" s="5" t="inlineStr"/>
      <c r="N131" s="5" t="inlineStr"/>
    </row>
    <row r="132">
      <c r="A132" s="13" t="inlineStr">
        <is>
          <t>00028410</t>
        </is>
      </c>
      <c r="B132" s="5" t="inlineStr">
        <is>
          <t>[00028410] PRAVOMAX 30CHEWABLE TAB</t>
        </is>
      </c>
      <c r="C132" s="5" t="inlineStr">
        <is>
          <t>دواء</t>
        </is>
      </c>
      <c r="D132" s="13" t="inlineStr">
        <is>
          <t>6286127000268</t>
        </is>
      </c>
      <c r="E132" s="14">
        <f>L132-K132</f>
        <v/>
      </c>
      <c r="F132" s="14" t="n">
        <v>0</v>
      </c>
      <c r="G132" s="14">
        <f>F132-E132</f>
        <v/>
      </c>
      <c r="H132" s="7" t="n">
        <v>155</v>
      </c>
      <c r="I132" s="7">
        <f>G132*H132</f>
        <v/>
      </c>
      <c r="J132" s="16" t="inlineStr">
        <is>
          <t>لم يُجرد</t>
        </is>
      </c>
      <c r="K132" s="14" t="n">
        <v>0</v>
      </c>
      <c r="L132" s="14" t="n">
        <v>7</v>
      </c>
      <c r="M132" s="5" t="inlineStr"/>
      <c r="N132" s="5" t="inlineStr"/>
    </row>
    <row r="133">
      <c r="A133" s="13" t="inlineStr">
        <is>
          <t>0005817</t>
        </is>
      </c>
      <c r="B133" s="5" t="inlineStr">
        <is>
          <t>[0005817] ATORVA 10MG 30TAB*****</t>
        </is>
      </c>
      <c r="C133" s="5" t="inlineStr">
        <is>
          <t>دواء</t>
        </is>
      </c>
      <c r="D133" s="13" t="inlineStr">
        <is>
          <t>06285101001000</t>
        </is>
      </c>
      <c r="E133" s="14">
        <f>L133-K133</f>
        <v/>
      </c>
      <c r="F133" s="14" t="n">
        <v>0</v>
      </c>
      <c r="G133" s="14">
        <f>F133-E133</f>
        <v/>
      </c>
      <c r="H133" s="7" t="n">
        <v>43.45</v>
      </c>
      <c r="I133" s="7">
        <f>G133*H133</f>
        <v/>
      </c>
      <c r="J133" s="16" t="inlineStr">
        <is>
          <t>لم يُجرد</t>
        </is>
      </c>
      <c r="K133" s="14" t="n">
        <v>0</v>
      </c>
      <c r="L133" s="14" t="n">
        <v>16</v>
      </c>
      <c r="M133" s="5" t="inlineStr"/>
      <c r="N133" s="5" t="inlineStr"/>
    </row>
    <row r="134">
      <c r="A134" s="13" t="inlineStr">
        <is>
          <t>0004240</t>
        </is>
      </c>
      <c r="B134" s="5" t="inlineStr">
        <is>
          <t>[0004240] CIPROMAX 500 MG 10 TAB</t>
        </is>
      </c>
      <c r="C134" s="5" t="inlineStr">
        <is>
          <t>دواء</t>
        </is>
      </c>
      <c r="D134" s="13" t="inlineStr">
        <is>
          <t>06281086011225</t>
        </is>
      </c>
      <c r="E134" s="14">
        <f>L134-K134</f>
        <v/>
      </c>
      <c r="F134" s="14" t="n">
        <v>0</v>
      </c>
      <c r="G134" s="14">
        <f>F134-E134</f>
        <v/>
      </c>
      <c r="H134" s="7" t="n">
        <v>62.05</v>
      </c>
      <c r="I134" s="7">
        <f>G134*H134</f>
        <v/>
      </c>
      <c r="J134" s="16" t="inlineStr">
        <is>
          <t>لم يُجرد</t>
        </is>
      </c>
      <c r="K134" s="14" t="n">
        <v>0</v>
      </c>
      <c r="L134" s="14" t="n">
        <v>11</v>
      </c>
      <c r="M134" s="5" t="inlineStr"/>
      <c r="N134" s="5" t="inlineStr"/>
    </row>
    <row r="135">
      <c r="A135" s="13" t="inlineStr">
        <is>
          <t>0005654</t>
        </is>
      </c>
      <c r="B135" s="5" t="inlineStr">
        <is>
          <t>[0005654] MAXIM 400 MG 7 TAB</t>
        </is>
      </c>
      <c r="C135" s="5" t="inlineStr">
        <is>
          <t>دواء</t>
        </is>
      </c>
      <c r="D135" s="13" t="inlineStr">
        <is>
          <t>010628512800060410uc</t>
        </is>
      </c>
      <c r="E135" s="14">
        <f>L135-K135</f>
        <v/>
      </c>
      <c r="F135" s="14" t="n">
        <v>0</v>
      </c>
      <c r="G135" s="14">
        <f>F135-E135</f>
        <v/>
      </c>
      <c r="H135" s="7" t="n">
        <v>80.40000000000001</v>
      </c>
      <c r="I135" s="7">
        <f>G135*H135</f>
        <v/>
      </c>
      <c r="J135" s="16" t="inlineStr">
        <is>
          <t>لم يُجرد</t>
        </is>
      </c>
      <c r="K135" s="14" t="n">
        <v>0</v>
      </c>
      <c r="L135" s="14" t="n">
        <v>11</v>
      </c>
      <c r="M135" s="5" t="inlineStr"/>
      <c r="N135" s="5" t="inlineStr"/>
    </row>
    <row r="136">
      <c r="A136" s="13" t="inlineStr">
        <is>
          <t>00047328</t>
        </is>
      </c>
      <c r="B136" s="5" t="inlineStr">
        <is>
          <t>[00047328] NQ ROYAL JELLY 1000MG 30CAP 1077</t>
        </is>
      </c>
      <c r="C136" s="5" t="inlineStr">
        <is>
          <t>دواء</t>
        </is>
      </c>
      <c r="D136" s="13" t="inlineStr">
        <is>
          <t>765464631077</t>
        </is>
      </c>
      <c r="E136" s="14">
        <f>L136-K136</f>
        <v/>
      </c>
      <c r="F136" s="14" t="n">
        <v>0</v>
      </c>
      <c r="G136" s="14">
        <f>F136-E136</f>
        <v/>
      </c>
      <c r="H136" s="7" t="n">
        <v>190</v>
      </c>
      <c r="I136" s="7">
        <f>G136*H136</f>
        <v/>
      </c>
      <c r="J136" s="16" t="inlineStr">
        <is>
          <t>لم يُجرد</t>
        </is>
      </c>
      <c r="K136" s="14" t="n">
        <v>0</v>
      </c>
      <c r="L136" s="14" t="n">
        <v>10</v>
      </c>
      <c r="M136" s="5" t="inlineStr"/>
      <c r="N136" s="5" t="inlineStr"/>
    </row>
    <row r="137">
      <c r="A137" s="13" t="inlineStr">
        <is>
          <t>0004024</t>
        </is>
      </c>
      <c r="B137" s="5" t="inlineStr">
        <is>
          <t>[0004024] DUPHALAC SYP TMR</t>
        </is>
      </c>
      <c r="C137" s="5" t="inlineStr">
        <is>
          <t>دواء</t>
        </is>
      </c>
      <c r="D137" s="13" t="inlineStr"/>
      <c r="E137" s="14">
        <f>L137-K137</f>
        <v/>
      </c>
      <c r="F137" s="14" t="n">
        <v>0</v>
      </c>
      <c r="G137" s="14">
        <f>F137-E137</f>
        <v/>
      </c>
      <c r="H137" s="7" t="n">
        <v>24.4</v>
      </c>
      <c r="I137" s="7">
        <f>G137*H137</f>
        <v/>
      </c>
      <c r="J137" s="16" t="inlineStr">
        <is>
          <t>لم يُجرد</t>
        </is>
      </c>
      <c r="K137" s="14" t="n">
        <v>0</v>
      </c>
      <c r="L137" s="14" t="n">
        <v>28</v>
      </c>
      <c r="M137" s="5" t="inlineStr"/>
      <c r="N137" s="5" t="inlineStr"/>
    </row>
    <row r="138">
      <c r="A138" s="13" t="inlineStr">
        <is>
          <t>00018938</t>
        </is>
      </c>
      <c r="B138" s="5" t="inlineStr">
        <is>
          <t>[00018938] VICKS VAPODROPS ORANGE 36 MENTHOL 36 LOG</t>
        </is>
      </c>
      <c r="C138" s="5" t="inlineStr">
        <is>
          <t>دواء</t>
        </is>
      </c>
      <c r="D138" s="13" t="inlineStr">
        <is>
          <t>8001841469867</t>
        </is>
      </c>
      <c r="E138" s="14">
        <f>L138-K138</f>
        <v/>
      </c>
      <c r="F138" s="14" t="n">
        <v>0</v>
      </c>
      <c r="G138" s="14">
        <f>F138-E138</f>
        <v/>
      </c>
      <c r="H138" s="7" t="n">
        <v>39.5</v>
      </c>
      <c r="I138" s="7">
        <f>G138*H138</f>
        <v/>
      </c>
      <c r="J138" s="16" t="inlineStr">
        <is>
          <t>لم يُجرد</t>
        </is>
      </c>
      <c r="K138" s="14" t="n">
        <v>0</v>
      </c>
      <c r="L138" s="14" t="n">
        <v>21.66</v>
      </c>
      <c r="M138" s="5" t="inlineStr"/>
      <c r="N138" s="5" t="inlineStr"/>
    </row>
    <row r="139">
      <c r="A139" s="13" t="inlineStr">
        <is>
          <t>0003843</t>
        </is>
      </c>
      <c r="B139" s="5" t="inlineStr">
        <is>
          <t>[0003843] EZIPAN 100ML SYRUP</t>
        </is>
      </c>
      <c r="C139" s="5" t="inlineStr">
        <is>
          <t>دواء</t>
        </is>
      </c>
      <c r="D139" s="13" t="inlineStr">
        <is>
          <t>06285147800247</t>
        </is>
      </c>
      <c r="E139" s="14">
        <f>L139-K139</f>
        <v/>
      </c>
      <c r="F139" s="14" t="n">
        <v>0</v>
      </c>
      <c r="G139" s="14">
        <f>F139-E139</f>
        <v/>
      </c>
      <c r="H139" s="7" t="n">
        <v>44.75</v>
      </c>
      <c r="I139" s="7">
        <f>G139*H139</f>
        <v/>
      </c>
      <c r="J139" s="16" t="inlineStr">
        <is>
          <t>لم يُجرد</t>
        </is>
      </c>
      <c r="K139" s="14" t="n">
        <v>0</v>
      </c>
      <c r="L139" s="14" t="n">
        <v>15</v>
      </c>
      <c r="M139" s="5" t="inlineStr"/>
      <c r="N139" s="5" t="inlineStr"/>
    </row>
    <row r="140">
      <c r="A140" s="13" t="inlineStr">
        <is>
          <t>00016339</t>
        </is>
      </c>
      <c r="B140" s="5" t="inlineStr">
        <is>
          <t>[00016339] SODIUM CHLORIDE 0.9% I.V INFUSION ZIMMO</t>
        </is>
      </c>
      <c r="C140" s="5" t="inlineStr">
        <is>
          <t>دواء</t>
        </is>
      </c>
      <c r="D140" s="13" t="inlineStr">
        <is>
          <t>06285085009276</t>
        </is>
      </c>
      <c r="E140" s="14">
        <f>L140-K140</f>
        <v/>
      </c>
      <c r="F140" s="14" t="n">
        <v>0</v>
      </c>
      <c r="G140" s="14">
        <f>F140-E140</f>
        <v/>
      </c>
      <c r="H140" s="7" t="n">
        <v>5.2</v>
      </c>
      <c r="I140" s="7">
        <f>G140*H140</f>
        <v/>
      </c>
      <c r="J140" s="16" t="inlineStr">
        <is>
          <t>لم يُجرد</t>
        </is>
      </c>
      <c r="K140" s="14" t="n">
        <v>0</v>
      </c>
      <c r="L140" s="14" t="n">
        <v>129</v>
      </c>
      <c r="M140" s="5" t="inlineStr"/>
      <c r="N140" s="5" t="inlineStr"/>
    </row>
    <row r="141">
      <c r="A141" s="13" t="inlineStr">
        <is>
          <t>00045769</t>
        </is>
      </c>
      <c r="B141" s="5" t="inlineStr">
        <is>
          <t>[00045769] ROLENIUM 500/50MCG 60 DOSES</t>
        </is>
      </c>
      <c r="C141" s="5" t="inlineStr">
        <is>
          <t>دواء</t>
        </is>
      </c>
      <c r="D141" s="13" t="inlineStr"/>
      <c r="E141" s="14">
        <f>L141-K141</f>
        <v/>
      </c>
      <c r="F141" s="14" t="n">
        <v>0</v>
      </c>
      <c r="G141" s="14">
        <f>F141-E141</f>
        <v/>
      </c>
      <c r="H141" s="7" t="n">
        <v>159.4</v>
      </c>
      <c r="I141" s="7">
        <f>G141*H141</f>
        <v/>
      </c>
      <c r="J141" s="16" t="inlineStr">
        <is>
          <t>لم يُجرد</t>
        </is>
      </c>
      <c r="K141" s="14" t="n">
        <v>0</v>
      </c>
      <c r="L141" s="14" t="n">
        <v>4</v>
      </c>
      <c r="M141" s="5" t="inlineStr"/>
      <c r="N141" s="5" t="inlineStr"/>
    </row>
    <row r="142">
      <c r="A142" s="13" t="inlineStr">
        <is>
          <t>0004659</t>
        </is>
      </c>
      <c r="B142" s="5" t="inlineStr">
        <is>
          <t>[0004659] VOLTIC D 50 MG 20 TAB</t>
        </is>
      </c>
      <c r="C142" s="5" t="inlineStr">
        <is>
          <t>دواء</t>
        </is>
      </c>
      <c r="D142" s="13" t="inlineStr">
        <is>
          <t>010628512800090110uc</t>
        </is>
      </c>
      <c r="E142" s="14">
        <f>L142-K142</f>
        <v/>
      </c>
      <c r="F142" s="14" t="n">
        <v>0</v>
      </c>
      <c r="G142" s="14">
        <f>F142-E142</f>
        <v/>
      </c>
      <c r="H142" s="7" t="n">
        <v>26.6</v>
      </c>
      <c r="I142" s="7">
        <f>G142*H142</f>
        <v/>
      </c>
      <c r="J142" s="16" t="inlineStr">
        <is>
          <t>لم يُجرد</t>
        </is>
      </c>
      <c r="K142" s="14" t="n">
        <v>0</v>
      </c>
      <c r="L142" s="14" t="n">
        <v>52.5</v>
      </c>
      <c r="M142" s="5" t="inlineStr"/>
      <c r="N142" s="5" t="inlineStr"/>
    </row>
    <row r="143">
      <c r="A143" s="13" t="inlineStr">
        <is>
          <t>00028065</t>
        </is>
      </c>
      <c r="B143" s="5" t="inlineStr">
        <is>
          <t>[00028065] PROLIFE BABY 30SACHETS</t>
        </is>
      </c>
      <c r="C143" s="5" t="inlineStr">
        <is>
          <t>دواء</t>
        </is>
      </c>
      <c r="D143" s="13" t="inlineStr">
        <is>
          <t>8809110408278</t>
        </is>
      </c>
      <c r="E143" s="14">
        <f>L143-K143</f>
        <v/>
      </c>
      <c r="F143" s="14" t="n">
        <v>0</v>
      </c>
      <c r="G143" s="14">
        <f>F143-E143</f>
        <v/>
      </c>
      <c r="H143" s="7" t="n">
        <v>129</v>
      </c>
      <c r="I143" s="7">
        <f>G143*H143</f>
        <v/>
      </c>
      <c r="J143" s="16" t="inlineStr">
        <is>
          <t>لم يُجرد</t>
        </is>
      </c>
      <c r="K143" s="14" t="n">
        <v>0</v>
      </c>
      <c r="L143" s="14" t="n">
        <v>5</v>
      </c>
      <c r="M143" s="5" t="inlineStr"/>
      <c r="N143" s="5" t="inlineStr"/>
    </row>
    <row r="144">
      <c r="A144" s="13" t="inlineStr">
        <is>
          <t>0004143</t>
        </is>
      </c>
      <c r="B144" s="5" t="inlineStr">
        <is>
          <t>[0004143] CORTIDERM 1% CREAM 30GM</t>
        </is>
      </c>
      <c r="C144" s="5" t="inlineStr">
        <is>
          <t>دواء</t>
        </is>
      </c>
      <c r="D144" s="13" t="inlineStr">
        <is>
          <t>06281086010815</t>
        </is>
      </c>
      <c r="E144" s="14">
        <f>L144-K144</f>
        <v/>
      </c>
      <c r="F144" s="14" t="n">
        <v>0</v>
      </c>
      <c r="G144" s="14">
        <f>F144-E144</f>
        <v/>
      </c>
      <c r="H144" s="7" t="n">
        <v>16.35</v>
      </c>
      <c r="I144" s="7">
        <f>G144*H144</f>
        <v/>
      </c>
      <c r="J144" s="16" t="inlineStr">
        <is>
          <t>لم يُجرد</t>
        </is>
      </c>
      <c r="K144" s="14" t="n">
        <v>0</v>
      </c>
      <c r="L144" s="14" t="n">
        <v>40</v>
      </c>
      <c r="M144" s="5" t="inlineStr"/>
      <c r="N144" s="5" t="inlineStr"/>
    </row>
    <row r="145">
      <c r="A145" s="13" t="inlineStr">
        <is>
          <t>00017469</t>
        </is>
      </c>
      <c r="B145" s="5" t="inlineStr">
        <is>
          <t>[00017469] ACCU CHEK INSTANT STRIPS 50PCS</t>
        </is>
      </c>
      <c r="C145" s="5" t="inlineStr">
        <is>
          <t>دواء</t>
        </is>
      </c>
      <c r="D145" s="13" t="inlineStr">
        <is>
          <t>4015630068272</t>
        </is>
      </c>
      <c r="E145" s="14">
        <f>L145-K145</f>
        <v/>
      </c>
      <c r="F145" s="14" t="n">
        <v>0</v>
      </c>
      <c r="G145" s="14">
        <f>F145-E145</f>
        <v/>
      </c>
      <c r="H145" s="7" t="n">
        <v>81.8</v>
      </c>
      <c r="I145" s="7">
        <f>G145*H145</f>
        <v/>
      </c>
      <c r="J145" s="16" t="inlineStr">
        <is>
          <t>لم يُجرد</t>
        </is>
      </c>
      <c r="K145" s="14" t="n">
        <v>0</v>
      </c>
      <c r="L145" s="14" t="n">
        <v>9</v>
      </c>
      <c r="M145" s="5" t="inlineStr"/>
      <c r="N145" s="5" t="inlineStr"/>
    </row>
    <row r="146">
      <c r="A146" s="13" t="inlineStr">
        <is>
          <t>0005722</t>
        </is>
      </c>
      <c r="B146" s="5" t="inlineStr">
        <is>
          <t>[0005722] AVALON SALINOSE BABY NASAL DROPS 20ML</t>
        </is>
      </c>
      <c r="C146" s="5" t="inlineStr">
        <is>
          <t>دواء</t>
        </is>
      </c>
      <c r="D146" s="13" t="inlineStr">
        <is>
          <t>06285095000089</t>
        </is>
      </c>
      <c r="E146" s="14">
        <f>L146-K146</f>
        <v/>
      </c>
      <c r="F146" s="14" t="n">
        <v>0</v>
      </c>
      <c r="G146" s="14">
        <f>F146-E146</f>
        <v/>
      </c>
      <c r="H146" s="7" t="n">
        <v>34</v>
      </c>
      <c r="I146" s="7">
        <f>G146*H146</f>
        <v/>
      </c>
      <c r="J146" s="16" t="inlineStr">
        <is>
          <t>لم يُجرد</t>
        </is>
      </c>
      <c r="K146" s="14" t="n">
        <v>0</v>
      </c>
      <c r="L146" s="14" t="n">
        <v>39</v>
      </c>
      <c r="M146" s="5" t="inlineStr"/>
      <c r="N146" s="5" t="inlineStr"/>
    </row>
    <row r="147">
      <c r="A147" s="13" t="inlineStr">
        <is>
          <t>0004851</t>
        </is>
      </c>
      <c r="B147" s="5" t="inlineStr">
        <is>
          <t>[0004851] SUDO CREAM 250GM</t>
        </is>
      </c>
      <c r="C147" s="5" t="inlineStr">
        <is>
          <t>دواء</t>
        </is>
      </c>
      <c r="D147" s="13" t="inlineStr">
        <is>
          <t>5011025045001</t>
        </is>
      </c>
      <c r="E147" s="14">
        <f>L147-K147</f>
        <v/>
      </c>
      <c r="F147" s="14" t="n">
        <v>0</v>
      </c>
      <c r="G147" s="14">
        <f>F147-E147</f>
        <v/>
      </c>
      <c r="H147" s="7" t="n">
        <v>57.9</v>
      </c>
      <c r="I147" s="7">
        <f>G147*H147</f>
        <v/>
      </c>
      <c r="J147" s="16" t="inlineStr">
        <is>
          <t>لم يُجرد</t>
        </is>
      </c>
      <c r="K147" s="14" t="n">
        <v>0</v>
      </c>
      <c r="L147" s="14" t="n">
        <v>11</v>
      </c>
      <c r="M147" s="5" t="inlineStr"/>
      <c r="N147" s="5" t="inlineStr"/>
    </row>
    <row r="148">
      <c r="A148" s="13" t="inlineStr">
        <is>
          <t>00018214</t>
        </is>
      </c>
      <c r="B148" s="5" t="inlineStr">
        <is>
          <t>[00018214] DAPOX 60 MG 4 TAB</t>
        </is>
      </c>
      <c r="C148" s="5" t="inlineStr">
        <is>
          <t>دواء</t>
        </is>
      </c>
      <c r="D148" s="13" t="inlineStr">
        <is>
          <t>06285128012973</t>
        </is>
      </c>
      <c r="E148" s="14">
        <f>L148-K148</f>
        <v/>
      </c>
      <c r="F148" s="14" t="n">
        <v>0</v>
      </c>
      <c r="G148" s="14">
        <f>F148-E148</f>
        <v/>
      </c>
      <c r="H148" s="7" t="n">
        <v>52.65</v>
      </c>
      <c r="I148" s="7">
        <f>G148*H148</f>
        <v/>
      </c>
      <c r="J148" s="16" t="inlineStr">
        <is>
          <t>لم يُجرد</t>
        </is>
      </c>
      <c r="K148" s="14" t="n">
        <v>0</v>
      </c>
      <c r="L148" s="14" t="n">
        <v>28.77</v>
      </c>
      <c r="M148" s="5" t="inlineStr"/>
      <c r="N148" s="5" t="inlineStr"/>
    </row>
    <row r="149">
      <c r="A149" s="13" t="inlineStr">
        <is>
          <t>0005766</t>
        </is>
      </c>
      <c r="B149" s="5" t="inlineStr">
        <is>
          <t>[0005766] ARTELAC ADVANCE EYE DROPS</t>
        </is>
      </c>
      <c r="C149" s="5" t="inlineStr">
        <is>
          <t>دواء</t>
        </is>
      </c>
      <c r="D149" s="13" t="inlineStr">
        <is>
          <t>4030571004066</t>
        </is>
      </c>
      <c r="E149" s="14">
        <f>L149-K149</f>
        <v/>
      </c>
      <c r="F149" s="14" t="n">
        <v>0</v>
      </c>
      <c r="G149" s="14">
        <f>F149-E149</f>
        <v/>
      </c>
      <c r="H149" s="7" t="n">
        <v>74</v>
      </c>
      <c r="I149" s="7">
        <f>G149*H149</f>
        <v/>
      </c>
      <c r="J149" s="16" t="inlineStr">
        <is>
          <t>لم يُجرد</t>
        </is>
      </c>
      <c r="K149" s="14" t="n">
        <v>0</v>
      </c>
      <c r="L149" s="14" t="n">
        <v>9</v>
      </c>
      <c r="M149" s="5" t="inlineStr"/>
      <c r="N149" s="5" t="inlineStr"/>
    </row>
    <row r="150">
      <c r="A150" s="13" t="inlineStr">
        <is>
          <t>0004703</t>
        </is>
      </c>
      <c r="B150" s="5" t="inlineStr">
        <is>
          <t>[0004703] TRACON 100MG 15 CAPS</t>
        </is>
      </c>
      <c r="C150" s="5" t="inlineStr">
        <is>
          <t>دواء</t>
        </is>
      </c>
      <c r="D150" s="13" t="inlineStr">
        <is>
          <t>06281086310243</t>
        </is>
      </c>
      <c r="E150" s="14">
        <f>L150-K150</f>
        <v/>
      </c>
      <c r="F150" s="14" t="n">
        <v>0</v>
      </c>
      <c r="G150" s="14">
        <f>F150-E150</f>
        <v/>
      </c>
      <c r="H150" s="7" t="n">
        <v>101.2</v>
      </c>
      <c r="I150" s="7">
        <f>G150*H150</f>
        <v/>
      </c>
      <c r="J150" s="16" t="inlineStr">
        <is>
          <t>لم يُجرد</t>
        </is>
      </c>
      <c r="K150" s="14" t="n">
        <v>0</v>
      </c>
      <c r="L150" s="14" t="n">
        <v>8</v>
      </c>
      <c r="M150" s="5" t="inlineStr"/>
      <c r="N150" s="5" t="inlineStr"/>
    </row>
    <row r="151">
      <c r="A151" s="13" t="inlineStr">
        <is>
          <t>0004125</t>
        </is>
      </c>
      <c r="B151" s="5" t="inlineStr">
        <is>
          <t>[0004125] ADOL DROPS 15ML</t>
        </is>
      </c>
      <c r="C151" s="5" t="inlineStr">
        <is>
          <t>دواء</t>
        </is>
      </c>
      <c r="D151" s="13" t="inlineStr">
        <is>
          <t>06291100081394</t>
        </is>
      </c>
      <c r="E151" s="14">
        <f>L151-K151</f>
        <v/>
      </c>
      <c r="F151" s="14" t="n">
        <v>0</v>
      </c>
      <c r="G151" s="14">
        <f>F151-E151</f>
        <v/>
      </c>
      <c r="H151" s="7" t="n">
        <v>7.5</v>
      </c>
      <c r="I151" s="7">
        <f>G151*H151</f>
        <v/>
      </c>
      <c r="J151" s="16" t="inlineStr">
        <is>
          <t>لم يُجرد</t>
        </is>
      </c>
      <c r="K151" s="14" t="n">
        <v>0</v>
      </c>
      <c r="L151" s="14" t="n">
        <v>83</v>
      </c>
      <c r="M151" s="5" t="inlineStr"/>
      <c r="N151" s="5" t="inlineStr"/>
    </row>
    <row r="152">
      <c r="A152" s="13" t="inlineStr">
        <is>
          <t>00019958</t>
        </is>
      </c>
      <c r="B152" s="5" t="inlineStr">
        <is>
          <t>[00019958] ENZYMAX TAB</t>
        </is>
      </c>
      <c r="C152" s="5" t="inlineStr">
        <is>
          <t>دواء</t>
        </is>
      </c>
      <c r="D152" s="13" t="inlineStr">
        <is>
          <t>06281086006078</t>
        </is>
      </c>
      <c r="E152" s="14">
        <f>L152-K152</f>
        <v/>
      </c>
      <c r="F152" s="14" t="n">
        <v>0</v>
      </c>
      <c r="G152" s="14">
        <f>F152-E152</f>
        <v/>
      </c>
      <c r="H152" s="7" t="n">
        <v>85</v>
      </c>
      <c r="I152" s="7">
        <f>G152*H152</f>
        <v/>
      </c>
      <c r="J152" s="16" t="inlineStr">
        <is>
          <t>لم يُجرد</t>
        </is>
      </c>
      <c r="K152" s="14" t="n">
        <v>0</v>
      </c>
      <c r="L152" s="14" t="n">
        <v>7</v>
      </c>
      <c r="M152" s="5" t="inlineStr"/>
      <c r="N152" s="5" t="inlineStr"/>
    </row>
    <row r="153">
      <c r="A153" s="13" t="inlineStr">
        <is>
          <t>00016756</t>
        </is>
      </c>
      <c r="B153" s="5" t="inlineStr">
        <is>
          <t>[00016756] NUROFEN  SYRUP STRAWBERRY 150ML</t>
        </is>
      </c>
      <c r="C153" s="5" t="inlineStr">
        <is>
          <t>دواء</t>
        </is>
      </c>
      <c r="D153" s="13" t="inlineStr">
        <is>
          <t>050001580715990</t>
        </is>
      </c>
      <c r="E153" s="14">
        <f>L153-K153</f>
        <v/>
      </c>
      <c r="F153" s="14" t="n">
        <v>0</v>
      </c>
      <c r="G153" s="14">
        <f>F153-E153</f>
        <v/>
      </c>
      <c r="H153" s="7" t="n">
        <v>17.15</v>
      </c>
      <c r="I153" s="7">
        <f>G153*H153</f>
        <v/>
      </c>
      <c r="J153" s="16" t="inlineStr">
        <is>
          <t>لم يُجرد</t>
        </is>
      </c>
      <c r="K153" s="14" t="n">
        <v>0</v>
      </c>
      <c r="L153" s="14" t="n">
        <v>36</v>
      </c>
      <c r="M153" s="5" t="inlineStr"/>
      <c r="N153" s="5" t="inlineStr"/>
    </row>
    <row r="154">
      <c r="A154" s="13" t="inlineStr">
        <is>
          <t>0003172</t>
        </is>
      </c>
      <c r="B154" s="5" t="inlineStr">
        <is>
          <t>[0003172] GLIPTEN 100MG 28TAB</t>
        </is>
      </c>
      <c r="C154" s="5" t="inlineStr">
        <is>
          <t>دواء</t>
        </is>
      </c>
      <c r="D154" s="13" t="inlineStr">
        <is>
          <t>6281086002803</t>
        </is>
      </c>
      <c r="E154" s="14">
        <f>L154-K154</f>
        <v/>
      </c>
      <c r="F154" s="14" t="n">
        <v>0</v>
      </c>
      <c r="G154" s="14">
        <f>F154-E154</f>
        <v/>
      </c>
      <c r="H154" s="7" t="n">
        <v>98.2</v>
      </c>
      <c r="I154" s="7">
        <f>G154*H154</f>
        <v/>
      </c>
      <c r="J154" s="16" t="inlineStr">
        <is>
          <t>لم يُجرد</t>
        </is>
      </c>
      <c r="K154" s="14" t="n">
        <v>0</v>
      </c>
      <c r="L154" s="14" t="n">
        <v>6</v>
      </c>
      <c r="M154" s="5" t="inlineStr"/>
      <c r="N154" s="5" t="inlineStr"/>
    </row>
    <row r="155">
      <c r="A155" s="13" t="inlineStr">
        <is>
          <t>0005364</t>
        </is>
      </c>
      <c r="B155" s="5" t="inlineStr">
        <is>
          <t>[0005364] OPTIVE MINI.E. DRP 30MG 4ML*****</t>
        </is>
      </c>
      <c r="C155" s="5" t="inlineStr">
        <is>
          <t>دواء</t>
        </is>
      </c>
      <c r="D155" s="13" t="inlineStr">
        <is>
          <t>5016007208719</t>
        </is>
      </c>
      <c r="E155" s="14">
        <f>L155-K155</f>
        <v/>
      </c>
      <c r="F155" s="14" t="n">
        <v>0</v>
      </c>
      <c r="G155" s="14">
        <f>F155-E155</f>
        <v/>
      </c>
      <c r="H155" s="7" t="n">
        <v>36</v>
      </c>
      <c r="I155" s="7">
        <f>G155*H155</f>
        <v/>
      </c>
      <c r="J155" s="16" t="inlineStr">
        <is>
          <t>لم يُجرد</t>
        </is>
      </c>
      <c r="K155" s="14" t="n">
        <v>0</v>
      </c>
      <c r="L155" s="14" t="n">
        <v>17</v>
      </c>
      <c r="M155" s="5" t="inlineStr"/>
      <c r="N155" s="5" t="inlineStr"/>
    </row>
    <row r="156">
      <c r="A156" s="13" t="inlineStr">
        <is>
          <t>0003711</t>
        </is>
      </c>
      <c r="B156" s="5" t="inlineStr">
        <is>
          <t>[0003711] GALVUS MET 50/1000MG 60TAB TMR</t>
        </is>
      </c>
      <c r="C156" s="5" t="inlineStr">
        <is>
          <t>دواء</t>
        </is>
      </c>
      <c r="D156" s="13" t="inlineStr">
        <is>
          <t>07612797216989</t>
        </is>
      </c>
      <c r="E156" s="14">
        <f>L156-K156</f>
        <v/>
      </c>
      <c r="F156" s="14" t="n">
        <v>0</v>
      </c>
      <c r="G156" s="14">
        <f>F156-E156</f>
        <v/>
      </c>
      <c r="H156" s="7" t="n">
        <v>100.4</v>
      </c>
      <c r="I156" s="7">
        <f>G156*H156</f>
        <v/>
      </c>
      <c r="J156" s="16" t="inlineStr">
        <is>
          <t>لم يُجرد</t>
        </is>
      </c>
      <c r="K156" s="14" t="n">
        <v>0</v>
      </c>
      <c r="L156" s="14" t="n">
        <v>5.83</v>
      </c>
      <c r="M156" s="5" t="inlineStr"/>
      <c r="N156" s="5" t="inlineStr"/>
    </row>
    <row r="157">
      <c r="A157" s="13" t="inlineStr">
        <is>
          <t>0003717</t>
        </is>
      </c>
      <c r="B157" s="5" t="inlineStr">
        <is>
          <t>[0003717] ANAZOL 500 MG 20 TAB</t>
        </is>
      </c>
      <c r="C157" s="5" t="inlineStr">
        <is>
          <t>دواء</t>
        </is>
      </c>
      <c r="D157" s="13" t="inlineStr"/>
      <c r="E157" s="14">
        <f>L157-K157</f>
        <v/>
      </c>
      <c r="F157" s="14" t="n">
        <v>0</v>
      </c>
      <c r="G157" s="14">
        <f>F157-E157</f>
        <v/>
      </c>
      <c r="H157" s="7" t="n">
        <v>14.85</v>
      </c>
      <c r="I157" s="7">
        <f>G157*H157</f>
        <v/>
      </c>
      <c r="J157" s="16" t="inlineStr">
        <is>
          <t>لم يُجرد</t>
        </is>
      </c>
      <c r="K157" s="14" t="n">
        <v>0</v>
      </c>
      <c r="L157" s="14" t="n">
        <v>42</v>
      </c>
      <c r="M157" s="5" t="inlineStr"/>
      <c r="N157" s="5" t="inlineStr"/>
    </row>
    <row r="158">
      <c r="A158" s="13" t="inlineStr">
        <is>
          <t>0004376</t>
        </is>
      </c>
      <c r="B158" s="5" t="inlineStr">
        <is>
          <t>[0004376] ACRETIN CREAM 0.5% WASFA</t>
        </is>
      </c>
      <c r="C158" s="5" t="inlineStr">
        <is>
          <t>دواء</t>
        </is>
      </c>
      <c r="D158" s="13" t="inlineStr">
        <is>
          <t>06285128000079</t>
        </is>
      </c>
      <c r="E158" s="14">
        <f>L158-K158</f>
        <v/>
      </c>
      <c r="F158" s="14" t="n">
        <v>0</v>
      </c>
      <c r="G158" s="14">
        <f>F158-E158</f>
        <v/>
      </c>
      <c r="H158" s="7" t="n">
        <v>19.5</v>
      </c>
      <c r="I158" s="7">
        <f>G158*H158</f>
        <v/>
      </c>
      <c r="J158" s="16" t="inlineStr">
        <is>
          <t>لم يُجرد</t>
        </is>
      </c>
      <c r="K158" s="14" t="n">
        <v>0</v>
      </c>
      <c r="L158" s="14" t="n">
        <v>46</v>
      </c>
      <c r="M158" s="5" t="inlineStr"/>
      <c r="N158" s="5" t="inlineStr"/>
    </row>
    <row r="159">
      <c r="A159" s="13" t="inlineStr">
        <is>
          <t>00035987</t>
        </is>
      </c>
      <c r="B159" s="5" t="inlineStr">
        <is>
          <t>[00035987] DANDAXA 20 MG 12 TAB</t>
        </is>
      </c>
      <c r="C159" s="5" t="inlineStr">
        <is>
          <t>دواء</t>
        </is>
      </c>
      <c r="D159" s="13" t="inlineStr">
        <is>
          <t>06291107471853</t>
        </is>
      </c>
      <c r="E159" s="14">
        <f>L159-K159</f>
        <v/>
      </c>
      <c r="F159" s="14" t="n">
        <v>0</v>
      </c>
      <c r="G159" s="14">
        <f>F159-E159</f>
        <v/>
      </c>
      <c r="H159" s="7" t="n">
        <v>192</v>
      </c>
      <c r="I159" s="7">
        <f>G159*H159</f>
        <v/>
      </c>
      <c r="J159" s="16" t="inlineStr">
        <is>
          <t>لم يُجرد</t>
        </is>
      </c>
      <c r="K159" s="14" t="n">
        <v>0</v>
      </c>
      <c r="L159" s="14" t="n">
        <v>3</v>
      </c>
      <c r="M159" s="5" t="inlineStr"/>
      <c r="N159" s="5" t="inlineStr"/>
    </row>
    <row r="160">
      <c r="A160" s="13" t="inlineStr">
        <is>
          <t>0005808</t>
        </is>
      </c>
      <c r="B160" s="5" t="inlineStr">
        <is>
          <t>[0005808] LORINE 10 MG 10 TAB</t>
        </is>
      </c>
      <c r="C160" s="5" t="inlineStr">
        <is>
          <t>دواء</t>
        </is>
      </c>
      <c r="D160" s="13" t="inlineStr"/>
      <c r="E160" s="14">
        <f>L160-K160</f>
        <v/>
      </c>
      <c r="F160" s="14" t="n">
        <v>0</v>
      </c>
      <c r="G160" s="14">
        <f>F160-E160</f>
        <v/>
      </c>
      <c r="H160" s="7" t="n">
        <v>17.65</v>
      </c>
      <c r="I160" s="7">
        <f>G160*H160</f>
        <v/>
      </c>
      <c r="J160" s="16" t="inlineStr">
        <is>
          <t>لم يُجرد</t>
        </is>
      </c>
      <c r="K160" s="14" t="n">
        <v>0</v>
      </c>
      <c r="L160" s="14" t="n">
        <v>34</v>
      </c>
      <c r="M160" s="5" t="inlineStr"/>
      <c r="N160" s="5" t="inlineStr"/>
    </row>
    <row r="161">
      <c r="A161" s="13" t="inlineStr">
        <is>
          <t>00039188</t>
        </is>
      </c>
      <c r="B161" s="5" t="inlineStr">
        <is>
          <t>[00039188] NOORALYASE 100ML SYRUP 8913</t>
        </is>
      </c>
      <c r="C161" s="5" t="inlineStr">
        <is>
          <t>دواء</t>
        </is>
      </c>
      <c r="D161" s="13" t="inlineStr">
        <is>
          <t>795044248913</t>
        </is>
      </c>
      <c r="E161" s="14">
        <f>L161-K161</f>
        <v/>
      </c>
      <c r="F161" s="14" t="n">
        <v>0</v>
      </c>
      <c r="G161" s="14">
        <f>F161-E161</f>
        <v/>
      </c>
      <c r="H161" s="7" t="n">
        <v>89</v>
      </c>
      <c r="I161" s="7">
        <f>G161*H161</f>
        <v/>
      </c>
      <c r="J161" s="16" t="inlineStr">
        <is>
          <t>لم يُجرد</t>
        </is>
      </c>
      <c r="K161" s="14" t="n">
        <v>0</v>
      </c>
      <c r="L161" s="14" t="n">
        <v>8</v>
      </c>
      <c r="M161" s="5" t="inlineStr"/>
      <c r="N161" s="5" t="inlineStr"/>
    </row>
    <row r="162">
      <c r="A162" s="13" t="inlineStr">
        <is>
          <t>00028044</t>
        </is>
      </c>
      <c r="B162" s="5" t="inlineStr">
        <is>
          <t>[00028044] AVALON SCAR PRO GEL 15G WASFA</t>
        </is>
      </c>
      <c r="C162" s="5" t="inlineStr">
        <is>
          <t>دواء</t>
        </is>
      </c>
      <c r="D162" s="13" t="inlineStr">
        <is>
          <t>6285095009914</t>
        </is>
      </c>
      <c r="E162" s="14">
        <f>L162-K162</f>
        <v/>
      </c>
      <c r="F162" s="14" t="n">
        <v>0</v>
      </c>
      <c r="G162" s="14">
        <f>F162-E162</f>
        <v/>
      </c>
      <c r="H162" s="7" t="n">
        <v>190</v>
      </c>
      <c r="I162" s="7">
        <f>G162*H162</f>
        <v/>
      </c>
      <c r="J162" s="16" t="inlineStr">
        <is>
          <t>لم يُجرد</t>
        </is>
      </c>
      <c r="K162" s="14" t="n">
        <v>0</v>
      </c>
      <c r="L162" s="14" t="n">
        <v>3</v>
      </c>
      <c r="M162" s="5" t="inlineStr"/>
      <c r="N162" s="5" t="inlineStr"/>
    </row>
    <row r="163">
      <c r="A163" s="13" t="inlineStr">
        <is>
          <t>0004049</t>
        </is>
      </c>
      <c r="B163" s="5" t="inlineStr">
        <is>
          <t>[0004049] ELICA 01% CREAM 30GM WASF</t>
        </is>
      </c>
      <c r="C163" s="5" t="inlineStr">
        <is>
          <t>دواء</t>
        </is>
      </c>
      <c r="D163" s="13" t="inlineStr">
        <is>
          <t>06285128000338</t>
        </is>
      </c>
      <c r="E163" s="14">
        <f>L163-K163</f>
        <v/>
      </c>
      <c r="F163" s="14" t="n">
        <v>0</v>
      </c>
      <c r="G163" s="14">
        <f>F163-E163</f>
        <v/>
      </c>
      <c r="H163" s="7" t="n">
        <v>19.2</v>
      </c>
      <c r="I163" s="7">
        <f>G163*H163</f>
        <v/>
      </c>
      <c r="J163" s="16" t="inlineStr">
        <is>
          <t>لم يُجرد</t>
        </is>
      </c>
      <c r="K163" s="14" t="n">
        <v>0</v>
      </c>
      <c r="L163" s="14" t="n">
        <v>55</v>
      </c>
      <c r="M163" s="5" t="inlineStr"/>
      <c r="N163" s="5" t="inlineStr"/>
    </row>
    <row r="164">
      <c r="A164" s="13" t="inlineStr">
        <is>
          <t>0004004</t>
        </is>
      </c>
      <c r="B164" s="5" t="inlineStr">
        <is>
          <t>[0004004] DOMPY SUSPENSION 200ML WASFA</t>
        </is>
      </c>
      <c r="C164" s="5" t="inlineStr">
        <is>
          <t>دواء</t>
        </is>
      </c>
      <c r="D164" s="13" t="inlineStr">
        <is>
          <t>06285128000314</t>
        </is>
      </c>
      <c r="E164" s="14">
        <f>L164-K164</f>
        <v/>
      </c>
      <c r="F164" s="14" t="n">
        <v>0</v>
      </c>
      <c r="G164" s="14">
        <f>F164-E164</f>
        <v/>
      </c>
      <c r="H164" s="7" t="n">
        <v>19</v>
      </c>
      <c r="I164" s="7">
        <f>G164*H164</f>
        <v/>
      </c>
      <c r="J164" s="16" t="inlineStr">
        <is>
          <t>لم يُجرد</t>
        </is>
      </c>
      <c r="K164" s="14" t="n">
        <v>0</v>
      </c>
      <c r="L164" s="14" t="n">
        <v>36</v>
      </c>
      <c r="M164" s="5" t="inlineStr"/>
      <c r="N164" s="5" t="inlineStr"/>
    </row>
    <row r="165">
      <c r="A165" s="13" t="inlineStr">
        <is>
          <t>0003941</t>
        </is>
      </c>
      <c r="B165" s="5" t="inlineStr">
        <is>
          <t>[0003941] DIAMICRON MR   60MG TAB</t>
        </is>
      </c>
      <c r="C165" s="5" t="inlineStr">
        <is>
          <t>دواء</t>
        </is>
      </c>
      <c r="D165" s="13" t="inlineStr">
        <is>
          <t>0106285108000143216j</t>
        </is>
      </c>
      <c r="E165" s="14">
        <f>L165-K165</f>
        <v/>
      </c>
      <c r="F165" s="14" t="n">
        <v>0</v>
      </c>
      <c r="G165" s="14">
        <f>F165-E165</f>
        <v/>
      </c>
      <c r="H165" s="7" t="n">
        <v>24</v>
      </c>
      <c r="I165" s="7">
        <f>G165*H165</f>
        <v/>
      </c>
      <c r="J165" s="16" t="inlineStr">
        <is>
          <t>لم يُجرد</t>
        </is>
      </c>
      <c r="K165" s="14" t="n">
        <v>0</v>
      </c>
      <c r="L165" s="14" t="n">
        <v>24</v>
      </c>
      <c r="M165" s="5" t="inlineStr"/>
      <c r="N165" s="5" t="inlineStr"/>
    </row>
    <row r="166">
      <c r="A166" s="13" t="inlineStr">
        <is>
          <t>0004994</t>
        </is>
      </c>
      <c r="B166" s="5" t="inlineStr">
        <is>
          <t>[0004994] AVALON SALINOSE PLUS NASAL SPRAY 20ML</t>
        </is>
      </c>
      <c r="C166" s="5" t="inlineStr">
        <is>
          <t>دواء</t>
        </is>
      </c>
      <c r="D166" s="13" t="inlineStr">
        <is>
          <t>06285095000195</t>
        </is>
      </c>
      <c r="E166" s="14">
        <f>L166-K166</f>
        <v/>
      </c>
      <c r="F166" s="14" t="n">
        <v>0</v>
      </c>
      <c r="G166" s="14">
        <f>F166-E166</f>
        <v/>
      </c>
      <c r="H166" s="7" t="n">
        <v>45</v>
      </c>
      <c r="I166" s="7">
        <f>G166*H166</f>
        <v/>
      </c>
      <c r="J166" s="16" t="inlineStr">
        <is>
          <t>لم يُجرد</t>
        </is>
      </c>
      <c r="K166" s="14" t="n">
        <v>0</v>
      </c>
      <c r="L166" s="14" t="n">
        <v>24</v>
      </c>
      <c r="M166" s="5" t="inlineStr"/>
      <c r="N166" s="5" t="inlineStr"/>
    </row>
    <row r="167">
      <c r="A167" s="13" t="inlineStr">
        <is>
          <t>00020635</t>
        </is>
      </c>
      <c r="B167" s="5" t="inlineStr">
        <is>
          <t>[00020635] VITA NOOR C 1000MG EFFE TAB</t>
        </is>
      </c>
      <c r="C167" s="5" t="inlineStr">
        <is>
          <t>دواء</t>
        </is>
      </c>
      <c r="D167" s="13" t="inlineStr">
        <is>
          <t>0748515537436</t>
        </is>
      </c>
      <c r="E167" s="14">
        <f>L167-K167</f>
        <v/>
      </c>
      <c r="F167" s="14" t="n">
        <v>0</v>
      </c>
      <c r="G167" s="14">
        <f>F167-E167</f>
        <v/>
      </c>
      <c r="H167" s="7" t="n">
        <v>35</v>
      </c>
      <c r="I167" s="7">
        <f>G167*H167</f>
        <v/>
      </c>
      <c r="J167" s="16" t="inlineStr">
        <is>
          <t>لم يُجرد</t>
        </is>
      </c>
      <c r="K167" s="14" t="n">
        <v>0</v>
      </c>
      <c r="L167" s="14" t="n">
        <v>32</v>
      </c>
      <c r="M167" s="5" t="inlineStr"/>
      <c r="N167" s="5" t="inlineStr"/>
    </row>
    <row r="168">
      <c r="A168" s="13" t="inlineStr">
        <is>
          <t>00021356</t>
        </is>
      </c>
      <c r="B168" s="5" t="inlineStr">
        <is>
          <t>[00021356] AVALON AVOMEB EXTRA 30GM  OINTMENT</t>
        </is>
      </c>
      <c r="C168" s="5" t="inlineStr">
        <is>
          <t>دواء</t>
        </is>
      </c>
      <c r="D168" s="13" t="inlineStr">
        <is>
          <t>06285095010422</t>
        </is>
      </c>
      <c r="E168" s="14">
        <f>L168-K168</f>
        <v/>
      </c>
      <c r="F168" s="14" t="n">
        <v>0</v>
      </c>
      <c r="G168" s="14">
        <f>F168-E168</f>
        <v/>
      </c>
      <c r="H168" s="7" t="n">
        <v>66</v>
      </c>
      <c r="I168" s="7">
        <f>G168*H168</f>
        <v/>
      </c>
      <c r="J168" s="16" t="inlineStr">
        <is>
          <t>لم يُجرد</t>
        </is>
      </c>
      <c r="K168" s="14" t="n">
        <v>0</v>
      </c>
      <c r="L168" s="14" t="n">
        <v>17</v>
      </c>
      <c r="M168" s="5" t="inlineStr"/>
      <c r="N168" s="5" t="inlineStr"/>
    </row>
    <row r="169">
      <c r="A169" s="13" t="inlineStr">
        <is>
          <t>0005316</t>
        </is>
      </c>
      <c r="B169" s="5" t="inlineStr">
        <is>
          <t>[0005316] PANADOL ADVANCE 500MG TAB</t>
        </is>
      </c>
      <c r="C169" s="5" t="inlineStr">
        <is>
          <t>دواء</t>
        </is>
      </c>
      <c r="D169" s="13" t="inlineStr">
        <is>
          <t>06286740000614</t>
        </is>
      </c>
      <c r="E169" s="14">
        <f>L169-K169</f>
        <v/>
      </c>
      <c r="F169" s="14" t="n">
        <v>0</v>
      </c>
      <c r="G169" s="14">
        <f>F169-E169</f>
        <v/>
      </c>
      <c r="H169" s="7" t="n">
        <v>6.95</v>
      </c>
      <c r="I169" s="7">
        <f>G169*H169</f>
        <v/>
      </c>
      <c r="J169" s="16" t="inlineStr">
        <is>
          <t>لم يُجرد</t>
        </is>
      </c>
      <c r="K169" s="14" t="n">
        <v>0</v>
      </c>
      <c r="L169" s="14" t="n">
        <v>86</v>
      </c>
      <c r="M169" s="5" t="inlineStr"/>
      <c r="N169" s="5" t="inlineStr"/>
    </row>
    <row r="170">
      <c r="A170" s="13" t="inlineStr">
        <is>
          <t>0005376</t>
        </is>
      </c>
      <c r="B170" s="5" t="inlineStr">
        <is>
          <t>[0005376] AZI-ONCE 200MGSUSP 15ML WASFA</t>
        </is>
      </c>
      <c r="C170" s="5" t="inlineStr">
        <is>
          <t>دواء</t>
        </is>
      </c>
      <c r="D170" s="13" t="inlineStr">
        <is>
          <t>06285128000185</t>
        </is>
      </c>
      <c r="E170" s="14">
        <f>L170-K170</f>
        <v/>
      </c>
      <c r="F170" s="14" t="n">
        <v>0</v>
      </c>
      <c r="G170" s="14">
        <f>F170-E170</f>
        <v/>
      </c>
      <c r="H170" s="7" t="n">
        <v>24.6</v>
      </c>
      <c r="I170" s="7">
        <f>G170*H170</f>
        <v/>
      </c>
      <c r="J170" s="16" t="inlineStr">
        <is>
          <t>لم يُجرد</t>
        </is>
      </c>
      <c r="K170" s="14" t="n">
        <v>0</v>
      </c>
      <c r="L170" s="14" t="n">
        <v>33</v>
      </c>
      <c r="M170" s="5" t="inlineStr"/>
      <c r="N170" s="5" t="inlineStr"/>
    </row>
    <row r="171">
      <c r="A171" s="13" t="inlineStr">
        <is>
          <t>0005301</t>
        </is>
      </c>
      <c r="B171" s="5" t="inlineStr">
        <is>
          <t>[0005301] PANADREX SYRUP 100ML</t>
        </is>
      </c>
      <c r="C171" s="5" t="inlineStr">
        <is>
          <t>دواء</t>
        </is>
      </c>
      <c r="D171" s="13" t="inlineStr">
        <is>
          <t>06285085007999</t>
        </is>
      </c>
      <c r="E171" s="14">
        <f>L171-K171</f>
        <v/>
      </c>
      <c r="F171" s="14" t="n">
        <v>0</v>
      </c>
      <c r="G171" s="14">
        <f>F171-E171</f>
        <v/>
      </c>
      <c r="H171" s="7" t="n">
        <v>5.8</v>
      </c>
      <c r="I171" s="7">
        <f>G171*H171</f>
        <v/>
      </c>
      <c r="J171" s="16" t="inlineStr">
        <is>
          <t>لم يُجرد</t>
        </is>
      </c>
      <c r="K171" s="14" t="n">
        <v>0</v>
      </c>
      <c r="L171" s="14" t="n">
        <v>95</v>
      </c>
      <c r="M171" s="5" t="inlineStr"/>
      <c r="N171" s="5" t="inlineStr"/>
    </row>
    <row r="172">
      <c r="A172" s="13" t="inlineStr">
        <is>
          <t>0005664</t>
        </is>
      </c>
      <c r="B172" s="5" t="inlineStr">
        <is>
          <t>[0005664] MEBO OINTMENT 30 GM</t>
        </is>
      </c>
      <c r="C172" s="5" t="inlineStr">
        <is>
          <t>دواء</t>
        </is>
      </c>
      <c r="D172" s="13" t="inlineStr"/>
      <c r="E172" s="14">
        <f>L172-K172</f>
        <v/>
      </c>
      <c r="F172" s="14" t="n">
        <v>0</v>
      </c>
      <c r="G172" s="14">
        <f>F172-E172</f>
        <v/>
      </c>
      <c r="H172" s="7" t="n">
        <v>75</v>
      </c>
      <c r="I172" s="7">
        <f>G172*H172</f>
        <v/>
      </c>
      <c r="J172" s="16" t="inlineStr">
        <is>
          <t>لم يُجرد</t>
        </is>
      </c>
      <c r="K172" s="14" t="n">
        <v>0</v>
      </c>
      <c r="L172" s="14" t="n">
        <v>7</v>
      </c>
      <c r="M172" s="5" t="inlineStr"/>
      <c r="N172" s="5" t="inlineStr"/>
    </row>
    <row r="173">
      <c r="A173" s="13" t="inlineStr">
        <is>
          <t>00038752</t>
        </is>
      </c>
      <c r="B173" s="5" t="inlineStr">
        <is>
          <t>[00038752] ARGIROYAL 1 VIAL DRINK</t>
        </is>
      </c>
      <c r="C173" s="5" t="inlineStr">
        <is>
          <t>دواء</t>
        </is>
      </c>
      <c r="D173" s="13" t="inlineStr">
        <is>
          <t>795044248937</t>
        </is>
      </c>
      <c r="E173" s="14">
        <f>L173-K173</f>
        <v/>
      </c>
      <c r="F173" s="14" t="n">
        <v>0</v>
      </c>
      <c r="G173" s="14">
        <f>F173-E173</f>
        <v/>
      </c>
      <c r="H173" s="7" t="n">
        <v>25</v>
      </c>
      <c r="I173" s="7">
        <f>G173*H173</f>
        <v/>
      </c>
      <c r="J173" s="16" t="inlineStr">
        <is>
          <t>لم يُجرد</t>
        </is>
      </c>
      <c r="K173" s="14" t="n">
        <v>0</v>
      </c>
      <c r="L173" s="14" t="n">
        <v>26</v>
      </c>
      <c r="M173" s="5" t="inlineStr"/>
      <c r="N173" s="5" t="inlineStr"/>
    </row>
    <row r="174">
      <c r="A174" s="13" t="inlineStr">
        <is>
          <t>00014727</t>
        </is>
      </c>
      <c r="B174" s="5" t="inlineStr">
        <is>
          <t>[00014727] TYRA 20 MG TAB</t>
        </is>
      </c>
      <c r="C174" s="5" t="inlineStr">
        <is>
          <t>دواء</t>
        </is>
      </c>
      <c r="D174" s="13" t="inlineStr">
        <is>
          <t>6251107424518</t>
        </is>
      </c>
      <c r="E174" s="14">
        <f>L174-K174</f>
        <v/>
      </c>
      <c r="F174" s="14" t="n">
        <v>0</v>
      </c>
      <c r="G174" s="14">
        <f>F174-E174</f>
        <v/>
      </c>
      <c r="H174" s="7" t="n">
        <v>72.05</v>
      </c>
      <c r="I174" s="7">
        <f>G174*H174</f>
        <v/>
      </c>
      <c r="J174" s="16" t="inlineStr">
        <is>
          <t>لم يُجرد</t>
        </is>
      </c>
      <c r="K174" s="14" t="n">
        <v>0</v>
      </c>
      <c r="L174" s="14" t="n">
        <v>7.25</v>
      </c>
      <c r="M174" s="5" t="inlineStr"/>
      <c r="N174" s="5" t="inlineStr"/>
    </row>
    <row r="175">
      <c r="A175" s="13" t="inlineStr">
        <is>
          <t>0003126</t>
        </is>
      </c>
      <c r="B175" s="5" t="inlineStr">
        <is>
          <t>[0003126] TOVAST 40MG 30TAB</t>
        </is>
      </c>
      <c r="C175" s="5" t="inlineStr">
        <is>
          <t>دواء</t>
        </is>
      </c>
      <c r="D175" s="13" t="inlineStr">
        <is>
          <t>06281086012239</t>
        </is>
      </c>
      <c r="E175" s="14">
        <f>L175-K175</f>
        <v/>
      </c>
      <c r="F175" s="14" t="n">
        <v>0</v>
      </c>
      <c r="G175" s="14">
        <f>F175-E175</f>
        <v/>
      </c>
      <c r="H175" s="7" t="n">
        <v>86.90000000000001</v>
      </c>
      <c r="I175" s="7">
        <f>G175*H175</f>
        <v/>
      </c>
      <c r="J175" s="16" t="inlineStr">
        <is>
          <t>لم يُجرد</t>
        </is>
      </c>
      <c r="K175" s="14" t="n">
        <v>0</v>
      </c>
      <c r="L175" s="14" t="n">
        <v>6</v>
      </c>
      <c r="M175" s="5" t="inlineStr"/>
      <c r="N175" s="5" t="inlineStr"/>
    </row>
    <row r="176">
      <c r="A176" s="13" t="inlineStr">
        <is>
          <t>00030340</t>
        </is>
      </c>
      <c r="B176" s="5" t="inlineStr">
        <is>
          <t>[00030340] FERTALIGHT 60CAP 7306</t>
        </is>
      </c>
      <c r="C176" s="5" t="inlineStr">
        <is>
          <t>دواء</t>
        </is>
      </c>
      <c r="D176" s="13" t="inlineStr">
        <is>
          <t>748515537306</t>
        </is>
      </c>
      <c r="E176" s="14">
        <f>L176-K176</f>
        <v/>
      </c>
      <c r="F176" s="14" t="n">
        <v>0</v>
      </c>
      <c r="G176" s="14">
        <f>F176-E176</f>
        <v/>
      </c>
      <c r="H176" s="7" t="n">
        <v>350</v>
      </c>
      <c r="I176" s="7">
        <f>G176*H176</f>
        <v/>
      </c>
      <c r="J176" s="16" t="inlineStr">
        <is>
          <t>لم يُجرد</t>
        </is>
      </c>
      <c r="K176" s="14" t="n">
        <v>0</v>
      </c>
      <c r="L176" s="14" t="n">
        <v>3</v>
      </c>
      <c r="M176" s="5" t="inlineStr"/>
      <c r="N176" s="5" t="inlineStr"/>
    </row>
    <row r="177">
      <c r="A177" s="13" t="inlineStr">
        <is>
          <t>0004026</t>
        </is>
      </c>
      <c r="B177" s="5" t="inlineStr">
        <is>
          <t>[0004026] DURACAN 150MG 1CAP WASFA</t>
        </is>
      </c>
      <c r="C177" s="5" t="inlineStr">
        <is>
          <t>دواء</t>
        </is>
      </c>
      <c r="D177" s="13" t="inlineStr">
        <is>
          <t>06285128000321</t>
        </is>
      </c>
      <c r="E177" s="14">
        <f>L177-K177</f>
        <v/>
      </c>
      <c r="F177" s="14" t="n">
        <v>0</v>
      </c>
      <c r="G177" s="14">
        <f>F177-E177</f>
        <v/>
      </c>
      <c r="H177" s="7" t="n">
        <v>19.45</v>
      </c>
      <c r="I177" s="7">
        <f>G177*H177</f>
        <v/>
      </c>
      <c r="J177" s="16" t="inlineStr">
        <is>
          <t>لم يُجرد</t>
        </is>
      </c>
      <c r="K177" s="14" t="n">
        <v>0</v>
      </c>
      <c r="L177" s="14" t="n">
        <v>52</v>
      </c>
      <c r="M177" s="5" t="inlineStr"/>
      <c r="N177" s="5" t="inlineStr"/>
    </row>
    <row r="178">
      <c r="A178" s="13" t="inlineStr">
        <is>
          <t>00020430</t>
        </is>
      </c>
      <c r="B178" s="5" t="inlineStr">
        <is>
          <t>[00020430] SYNJARDY 12.5/1000 60-TAB</t>
        </is>
      </c>
      <c r="C178" s="5" t="inlineStr">
        <is>
          <t>دواء</t>
        </is>
      </c>
      <c r="D178" s="13" t="inlineStr">
        <is>
          <t>06285079002023</t>
        </is>
      </c>
      <c r="E178" s="14">
        <f>L178-K178</f>
        <v/>
      </c>
      <c r="F178" s="14" t="n">
        <v>0</v>
      </c>
      <c r="G178" s="14">
        <f>F178-E178</f>
        <v/>
      </c>
      <c r="H178" s="7" t="n">
        <v>171.5</v>
      </c>
      <c r="I178" s="7">
        <f>G178*H178</f>
        <v/>
      </c>
      <c r="J178" s="16" t="inlineStr">
        <is>
          <t>لم يُجرد</t>
        </is>
      </c>
      <c r="K178" s="14" t="n">
        <v>0</v>
      </c>
      <c r="L178" s="14" t="n">
        <v>3</v>
      </c>
      <c r="M178" s="5" t="inlineStr"/>
      <c r="N178" s="5" t="inlineStr"/>
    </row>
    <row r="179">
      <c r="A179" s="13" t="inlineStr">
        <is>
          <t>0005129</t>
        </is>
      </c>
      <c r="B179" s="5" t="inlineStr">
        <is>
          <t>[0005129] PULMICORT 05MG/ML SOLUTION</t>
        </is>
      </c>
      <c r="C179" s="5" t="inlineStr">
        <is>
          <t>دواء</t>
        </is>
      </c>
      <c r="D179" s="13" t="inlineStr">
        <is>
          <t>05000456095112</t>
        </is>
      </c>
      <c r="E179" s="14">
        <f>L179-K179</f>
        <v/>
      </c>
      <c r="F179" s="14" t="n">
        <v>0</v>
      </c>
      <c r="G179" s="14">
        <f>F179-E179</f>
        <v/>
      </c>
      <c r="H179" s="7" t="n">
        <v>134.25</v>
      </c>
      <c r="I179" s="7">
        <f>G179*H179</f>
        <v/>
      </c>
      <c r="J179" s="16" t="inlineStr">
        <is>
          <t>لم يُجرد</t>
        </is>
      </c>
      <c r="K179" s="14" t="n">
        <v>0</v>
      </c>
      <c r="L179" s="14" t="n">
        <v>3.75</v>
      </c>
      <c r="M179" s="5" t="inlineStr"/>
      <c r="N179" s="5" t="inlineStr"/>
    </row>
    <row r="180">
      <c r="A180" s="13" t="inlineStr">
        <is>
          <t>00040734</t>
        </is>
      </c>
      <c r="B180" s="5" t="inlineStr">
        <is>
          <t>[00040734] WEGOVY 0.25 MG PEN</t>
        </is>
      </c>
      <c r="C180" s="5" t="inlineStr">
        <is>
          <t>دواء</t>
        </is>
      </c>
      <c r="D180" s="13" t="inlineStr"/>
      <c r="E180" s="14">
        <f>L180-K180</f>
        <v/>
      </c>
      <c r="F180" s="14" t="n">
        <v>0</v>
      </c>
      <c r="G180" s="14">
        <f>F180-E180</f>
        <v/>
      </c>
      <c r="H180" s="7" t="n">
        <v>481.45</v>
      </c>
      <c r="I180" s="7">
        <f>G180*H180</f>
        <v/>
      </c>
      <c r="J180" s="16" t="inlineStr">
        <is>
          <t>لم يُجرد</t>
        </is>
      </c>
      <c r="K180" s="14" t="n">
        <v>0</v>
      </c>
      <c r="L180" s="14" t="n">
        <v>1</v>
      </c>
      <c r="M180" s="5" t="inlineStr"/>
      <c r="N180" s="5" t="inlineStr"/>
    </row>
    <row r="181">
      <c r="A181" s="13" t="inlineStr">
        <is>
          <t>00040736</t>
        </is>
      </c>
      <c r="B181" s="5" t="inlineStr">
        <is>
          <t>[00040736] WEGOVY 1 MG PEN</t>
        </is>
      </c>
      <c r="C181" s="5" t="inlineStr">
        <is>
          <t>دواء</t>
        </is>
      </c>
      <c r="D181" s="13" t="inlineStr"/>
      <c r="E181" s="14">
        <f>L181-K181</f>
        <v/>
      </c>
      <c r="F181" s="14" t="n">
        <v>0</v>
      </c>
      <c r="G181" s="14">
        <f>F181-E181</f>
        <v/>
      </c>
      <c r="H181" s="7" t="n">
        <v>481.45</v>
      </c>
      <c r="I181" s="7">
        <f>G181*H181</f>
        <v/>
      </c>
      <c r="J181" s="16" t="inlineStr">
        <is>
          <t>لم يُجرد</t>
        </is>
      </c>
      <c r="K181" s="14" t="n">
        <v>0</v>
      </c>
      <c r="L181" s="14" t="n">
        <v>1</v>
      </c>
      <c r="M181" s="5" t="inlineStr"/>
      <c r="N181" s="5" t="inlineStr"/>
    </row>
    <row r="182">
      <c r="A182" s="13" t="inlineStr">
        <is>
          <t>00030493</t>
        </is>
      </c>
      <c r="B182" s="5" t="inlineStr">
        <is>
          <t>[00030493] FOLTENE MEN 9377TREATMENT AMP</t>
        </is>
      </c>
      <c r="C182" s="5" t="inlineStr">
        <is>
          <t>دواء</t>
        </is>
      </c>
      <c r="D182" s="13" t="inlineStr">
        <is>
          <t>8013134009377</t>
        </is>
      </c>
      <c r="E182" s="14">
        <f>L182-K182</f>
        <v/>
      </c>
      <c r="F182" s="14" t="n">
        <v>0</v>
      </c>
      <c r="G182" s="14">
        <f>F182-E182</f>
        <v/>
      </c>
      <c r="H182" s="7" t="n">
        <v>289.93</v>
      </c>
      <c r="I182" s="7">
        <f>G182*H182</f>
        <v/>
      </c>
      <c r="J182" s="16" t="inlineStr">
        <is>
          <t>لم يُجرد</t>
        </is>
      </c>
      <c r="K182" s="14" t="n">
        <v>0</v>
      </c>
      <c r="L182" s="14" t="n">
        <v>2</v>
      </c>
      <c r="M182" s="5" t="inlineStr"/>
      <c r="N182" s="5" t="inlineStr"/>
    </row>
    <row r="183">
      <c r="A183" s="13" t="inlineStr">
        <is>
          <t>00031613</t>
        </is>
      </c>
      <c r="B183" s="5" t="inlineStr">
        <is>
          <t>[00031613] CARDICOR 5MG TAB</t>
        </is>
      </c>
      <c r="C183" s="5" t="inlineStr">
        <is>
          <t>دواء</t>
        </is>
      </c>
      <c r="D183" s="13" t="inlineStr"/>
      <c r="E183" s="14">
        <f>L183-K183</f>
        <v/>
      </c>
      <c r="F183" s="14" t="n">
        <v>0</v>
      </c>
      <c r="G183" s="14">
        <f>F183-E183</f>
        <v/>
      </c>
      <c r="H183" s="7" t="n">
        <v>24.85</v>
      </c>
      <c r="I183" s="7">
        <f>G183*H183</f>
        <v/>
      </c>
      <c r="J183" s="16" t="inlineStr">
        <is>
          <t>لم يُجرد</t>
        </is>
      </c>
      <c r="K183" s="14" t="n">
        <v>0</v>
      </c>
      <c r="L183" s="14" t="n">
        <v>21</v>
      </c>
      <c r="M183" s="5" t="inlineStr"/>
      <c r="N183" s="5" t="inlineStr"/>
    </row>
    <row r="184">
      <c r="A184" s="13" t="inlineStr">
        <is>
          <t>00023669</t>
        </is>
      </c>
      <c r="B184" s="5" t="inlineStr">
        <is>
          <t>[00023669] CARNIVITA ADVANCE WOMEN 30 SACH</t>
        </is>
      </c>
      <c r="C184" s="5" t="inlineStr">
        <is>
          <t>دواء</t>
        </is>
      </c>
      <c r="D184" s="13" t="inlineStr">
        <is>
          <t>6224011817158</t>
        </is>
      </c>
      <c r="E184" s="14">
        <f>L184-K184</f>
        <v/>
      </c>
      <c r="F184" s="14" t="n">
        <v>0</v>
      </c>
      <c r="G184" s="14">
        <f>F184-E184</f>
        <v/>
      </c>
      <c r="H184" s="7" t="n">
        <v>282.61</v>
      </c>
      <c r="I184" s="7">
        <f>G184*H184</f>
        <v/>
      </c>
      <c r="J184" s="16" t="inlineStr">
        <is>
          <t>لم يُجرد</t>
        </is>
      </c>
      <c r="K184" s="14" t="n">
        <v>0</v>
      </c>
      <c r="L184" s="14" t="n">
        <v>2</v>
      </c>
      <c r="M184" s="5" t="inlineStr"/>
      <c r="N184" s="5" t="inlineStr"/>
    </row>
    <row r="185">
      <c r="A185" s="13" t="inlineStr">
        <is>
          <t>0003097</t>
        </is>
      </c>
      <c r="B185" s="5" t="inlineStr">
        <is>
          <t>[0003097] CONTOUR TS 50 STRIPS</t>
        </is>
      </c>
      <c r="C185" s="5" t="inlineStr">
        <is>
          <t>دواء</t>
        </is>
      </c>
      <c r="D185" s="13" t="inlineStr">
        <is>
          <t>5016003184604</t>
        </is>
      </c>
      <c r="E185" s="14">
        <f>L185-K185</f>
        <v/>
      </c>
      <c r="F185" s="14" t="n">
        <v>0</v>
      </c>
      <c r="G185" s="14">
        <f>F185-E185</f>
        <v/>
      </c>
      <c r="H185" s="7" t="n">
        <v>69.7</v>
      </c>
      <c r="I185" s="7">
        <f>G185*H185</f>
        <v/>
      </c>
      <c r="J185" s="16" t="inlineStr">
        <is>
          <t>لم يُجرد</t>
        </is>
      </c>
      <c r="K185" s="14" t="n">
        <v>0</v>
      </c>
      <c r="L185" s="14" t="n">
        <v>9</v>
      </c>
      <c r="M185" s="5" t="inlineStr"/>
      <c r="N185" s="5" t="inlineStr"/>
    </row>
    <row r="186">
      <c r="A186" s="13" t="inlineStr">
        <is>
          <t>00039687</t>
        </is>
      </c>
      <c r="B186" s="5" t="inlineStr">
        <is>
          <t>[00039687] PENETRO 20MG TAB</t>
        </is>
      </c>
      <c r="C186" s="5" t="inlineStr">
        <is>
          <t>دواء</t>
        </is>
      </c>
      <c r="D186" s="13" t="inlineStr"/>
      <c r="E186" s="14">
        <f>L186-K186</f>
        <v/>
      </c>
      <c r="F186" s="14" t="n">
        <v>0</v>
      </c>
      <c r="G186" s="14">
        <f>F186-E186</f>
        <v/>
      </c>
      <c r="H186" s="7" t="n">
        <v>68.7</v>
      </c>
      <c r="I186" s="7">
        <f>G186*H186</f>
        <v/>
      </c>
      <c r="J186" s="16" t="inlineStr">
        <is>
          <t>لم يُجرد</t>
        </is>
      </c>
      <c r="K186" s="14" t="n">
        <v>0</v>
      </c>
      <c r="L186" s="14" t="n">
        <v>17.25</v>
      </c>
      <c r="M186" s="5" t="inlineStr"/>
      <c r="N186" s="5" t="inlineStr"/>
    </row>
    <row r="187">
      <c r="A187" s="13" t="inlineStr">
        <is>
          <t>0003882</t>
        </is>
      </c>
      <c r="B187" s="5" t="inlineStr">
        <is>
          <t>[0003882] ENTAPRO 20MG COATED TAB</t>
        </is>
      </c>
      <c r="C187" s="5" t="inlineStr">
        <is>
          <t>دواء</t>
        </is>
      </c>
      <c r="D187" s="13" t="inlineStr">
        <is>
          <t>06281086012680</t>
        </is>
      </c>
      <c r="E187" s="14">
        <f>L187-K187</f>
        <v/>
      </c>
      <c r="F187" s="14" t="n">
        <v>0</v>
      </c>
      <c r="G187" s="14">
        <f>F187-E187</f>
        <v/>
      </c>
      <c r="H187" s="7" t="n">
        <v>123.35</v>
      </c>
      <c r="I187" s="7">
        <f>G187*H187</f>
        <v/>
      </c>
      <c r="J187" s="16" t="inlineStr">
        <is>
          <t>لم يُجرد</t>
        </is>
      </c>
      <c r="K187" s="14" t="n">
        <v>0</v>
      </c>
      <c r="L187" s="14" t="n">
        <v>4</v>
      </c>
      <c r="M187" s="5" t="inlineStr"/>
      <c r="N187" s="5" t="inlineStr"/>
    </row>
    <row r="188">
      <c r="A188" s="13" t="inlineStr">
        <is>
          <t>00028394</t>
        </is>
      </c>
      <c r="B188" s="5" t="inlineStr">
        <is>
          <t>[00028394] STROMEGA 30 CAP</t>
        </is>
      </c>
      <c r="C188" s="5" t="inlineStr">
        <is>
          <t>دواء</t>
        </is>
      </c>
      <c r="D188" s="13" t="inlineStr">
        <is>
          <t>7132892900090</t>
        </is>
      </c>
      <c r="E188" s="14">
        <f>L188-K188</f>
        <v/>
      </c>
      <c r="F188" s="14" t="n">
        <v>0</v>
      </c>
      <c r="G188" s="14">
        <f>F188-E188</f>
        <v/>
      </c>
      <c r="H188" s="7" t="n">
        <v>125</v>
      </c>
      <c r="I188" s="7">
        <f>G188*H188</f>
        <v/>
      </c>
      <c r="J188" s="16" t="inlineStr">
        <is>
          <t>لم يُجرد</t>
        </is>
      </c>
      <c r="K188" s="14" t="n">
        <v>0</v>
      </c>
      <c r="L188" s="14" t="n">
        <v>5</v>
      </c>
      <c r="M188" s="5" t="inlineStr"/>
      <c r="N188" s="5" t="inlineStr"/>
    </row>
    <row r="189">
      <c r="A189" s="13" t="inlineStr">
        <is>
          <t>00025134</t>
        </is>
      </c>
      <c r="B189" s="5" t="inlineStr">
        <is>
          <t>[00025134] ASCENTA 20MG TAB</t>
        </is>
      </c>
      <c r="C189" s="5" t="inlineStr">
        <is>
          <t>دواء</t>
        </is>
      </c>
      <c r="D189" s="13" t="inlineStr">
        <is>
          <t>06286001000087</t>
        </is>
      </c>
      <c r="E189" s="14">
        <f>L189-K189</f>
        <v/>
      </c>
      <c r="F189" s="14" t="n">
        <v>0</v>
      </c>
      <c r="G189" s="14">
        <f>F189-E189</f>
        <v/>
      </c>
      <c r="H189" s="7" t="n">
        <v>64.84</v>
      </c>
      <c r="I189" s="7">
        <f>G189*H189</f>
        <v/>
      </c>
      <c r="J189" s="16" t="inlineStr">
        <is>
          <t>لم يُجرد</t>
        </is>
      </c>
      <c r="K189" s="14" t="n">
        <v>0</v>
      </c>
      <c r="L189" s="14" t="n">
        <v>7.75</v>
      </c>
      <c r="M189" s="5" t="inlineStr"/>
      <c r="N189" s="5" t="inlineStr"/>
    </row>
    <row r="190">
      <c r="A190" s="13" t="inlineStr">
        <is>
          <t>00019506</t>
        </is>
      </c>
      <c r="B190" s="5" t="inlineStr">
        <is>
          <t>[00019506] ACRETIN-C GEL 30GM</t>
        </is>
      </c>
      <c r="C190" s="5" t="inlineStr">
        <is>
          <t>دواء</t>
        </is>
      </c>
      <c r="D190" s="13" t="inlineStr">
        <is>
          <t>06285128015363</t>
        </is>
      </c>
      <c r="E190" s="14">
        <f>L190-K190</f>
        <v/>
      </c>
      <c r="F190" s="14" t="n">
        <v>0</v>
      </c>
      <c r="G190" s="14">
        <f>F190-E190</f>
        <v/>
      </c>
      <c r="H190" s="7" t="n">
        <v>33.8</v>
      </c>
      <c r="I190" s="7">
        <f>G190*H190</f>
        <v/>
      </c>
      <c r="J190" s="16" t="inlineStr">
        <is>
          <t>لم يُجرد</t>
        </is>
      </c>
      <c r="K190" s="14" t="n">
        <v>0</v>
      </c>
      <c r="L190" s="14" t="n">
        <v>19</v>
      </c>
      <c r="M190" s="5" t="inlineStr"/>
      <c r="N190" s="5" t="inlineStr"/>
    </row>
    <row r="191">
      <c r="A191" s="13" t="inlineStr">
        <is>
          <t>00021069</t>
        </is>
      </c>
      <c r="B191" s="5" t="inlineStr">
        <is>
          <t>[00021069] RYBELSUS 7MG 30TAB</t>
        </is>
      </c>
      <c r="C191" s="5" t="inlineStr">
        <is>
          <t>دواء</t>
        </is>
      </c>
      <c r="D191" s="13" t="inlineStr"/>
      <c r="E191" s="14">
        <f>L191-K191</f>
        <v/>
      </c>
      <c r="F191" s="14" t="n">
        <v>0</v>
      </c>
      <c r="G191" s="14">
        <f>F191-E191</f>
        <v/>
      </c>
      <c r="H191" s="7" t="n">
        <v>456.7</v>
      </c>
      <c r="I191" s="7">
        <f>G191*H191</f>
        <v/>
      </c>
      <c r="J191" s="16" t="inlineStr">
        <is>
          <t>لم يُجرد</t>
        </is>
      </c>
      <c r="K191" s="14" t="n">
        <v>0</v>
      </c>
      <c r="L191" s="14" t="n">
        <v>1</v>
      </c>
      <c r="M191" s="5" t="inlineStr"/>
      <c r="N191" s="5" t="inlineStr"/>
    </row>
    <row r="192">
      <c r="A192" s="13" t="inlineStr">
        <is>
          <t>00012833</t>
        </is>
      </c>
      <c r="B192" s="5" t="inlineStr">
        <is>
          <t>[00012833] JARDIANCE 25 MG****</t>
        </is>
      </c>
      <c r="C192" s="5" t="inlineStr">
        <is>
          <t>دواء</t>
        </is>
      </c>
      <c r="D192" s="13" t="inlineStr">
        <is>
          <t>01062850790010642110</t>
        </is>
      </c>
      <c r="E192" s="14">
        <f>L192-K192</f>
        <v/>
      </c>
      <c r="F192" s="14" t="n">
        <v>0</v>
      </c>
      <c r="G192" s="14">
        <f>F192-E192</f>
        <v/>
      </c>
      <c r="H192" s="7" t="n">
        <v>159</v>
      </c>
      <c r="I192" s="7">
        <f>G192*H192</f>
        <v/>
      </c>
      <c r="J192" s="16" t="inlineStr">
        <is>
          <t>لم يُجرد</t>
        </is>
      </c>
      <c r="K192" s="14" t="n">
        <v>0</v>
      </c>
      <c r="L192" s="14" t="n">
        <v>3</v>
      </c>
      <c r="M192" s="5" t="inlineStr"/>
      <c r="N192" s="5" t="inlineStr"/>
    </row>
    <row r="193">
      <c r="A193" s="13" t="inlineStr">
        <is>
          <t>0005342</t>
        </is>
      </c>
      <c r="B193" s="5" t="inlineStr">
        <is>
          <t>[0005342] OPTIFRESH DROPS 10ML</t>
        </is>
      </c>
      <c r="C193" s="5" t="inlineStr">
        <is>
          <t>دواء</t>
        </is>
      </c>
      <c r="D193" s="13" t="inlineStr">
        <is>
          <t>010628512800068010UH</t>
        </is>
      </c>
      <c r="E193" s="14">
        <f>L193-K193</f>
        <v/>
      </c>
      <c r="F193" s="14" t="n">
        <v>0</v>
      </c>
      <c r="G193" s="14">
        <f>F193-E193</f>
        <v/>
      </c>
      <c r="H193" s="7" t="n">
        <v>19</v>
      </c>
      <c r="I193" s="7">
        <f>G193*H193</f>
        <v/>
      </c>
      <c r="J193" s="16" t="inlineStr">
        <is>
          <t>لم يُجرد</t>
        </is>
      </c>
      <c r="K193" s="14" t="n">
        <v>0</v>
      </c>
      <c r="L193" s="14" t="n">
        <v>26</v>
      </c>
      <c r="M193" s="5" t="inlineStr"/>
      <c r="N193" s="5" t="inlineStr"/>
    </row>
    <row r="194">
      <c r="A194" s="13" t="inlineStr">
        <is>
          <t>00038708</t>
        </is>
      </c>
      <c r="B194" s="5" t="inlineStr">
        <is>
          <t>[00038708] REGAINE 5% FOAM 73ML</t>
        </is>
      </c>
      <c r="C194" s="5" t="inlineStr">
        <is>
          <t>دواء</t>
        </is>
      </c>
      <c r="D194" s="13" t="inlineStr">
        <is>
          <t>3574661733906</t>
        </is>
      </c>
      <c r="E194" s="14">
        <f>L194-K194</f>
        <v/>
      </c>
      <c r="F194" s="14" t="n">
        <v>0</v>
      </c>
      <c r="G194" s="14">
        <f>F194-E194</f>
        <v/>
      </c>
      <c r="H194" s="7" t="n">
        <v>95</v>
      </c>
      <c r="I194" s="7">
        <f>G194*H194</f>
        <v/>
      </c>
      <c r="J194" s="16" t="inlineStr">
        <is>
          <t>لم يُجرد</t>
        </is>
      </c>
      <c r="K194" s="14" t="n">
        <v>0</v>
      </c>
      <c r="L194" s="14" t="n">
        <v>5</v>
      </c>
      <c r="M194" s="5" t="inlineStr"/>
      <c r="N194" s="5" t="inlineStr"/>
    </row>
    <row r="195">
      <c r="A195" s="13" t="inlineStr">
        <is>
          <t>0004118</t>
        </is>
      </c>
      <c r="B195" s="5" t="inlineStr">
        <is>
          <t>[0004118] ADOL CAPLETS 500MG 24TAB</t>
        </is>
      </c>
      <c r="C195" s="5" t="inlineStr">
        <is>
          <t>دواء</t>
        </is>
      </c>
      <c r="D195" s="13" t="inlineStr">
        <is>
          <t>06291100080069</t>
        </is>
      </c>
      <c r="E195" s="14">
        <f>L195-K195</f>
        <v/>
      </c>
      <c r="F195" s="14" t="n">
        <v>0</v>
      </c>
      <c r="G195" s="14">
        <f>F195-E195</f>
        <v/>
      </c>
      <c r="H195" s="7" t="n">
        <v>5.05</v>
      </c>
      <c r="I195" s="7">
        <f>G195*H195</f>
        <v/>
      </c>
      <c r="J195" s="16" t="inlineStr">
        <is>
          <t>لم يُجرد</t>
        </is>
      </c>
      <c r="K195" s="14" t="n">
        <v>0</v>
      </c>
      <c r="L195" s="14" t="n">
        <v>98</v>
      </c>
      <c r="M195" s="5" t="inlineStr"/>
      <c r="N195" s="5" t="inlineStr"/>
    </row>
    <row r="196">
      <c r="A196" s="13" t="inlineStr">
        <is>
          <t>0003389</t>
        </is>
      </c>
      <c r="B196" s="5" t="inlineStr">
        <is>
          <t>[0003389] JP OMEGA3 567MG 30CAP</t>
        </is>
      </c>
      <c r="C196" s="5" t="inlineStr">
        <is>
          <t>دواء</t>
        </is>
      </c>
      <c r="D196" s="13" t="inlineStr">
        <is>
          <t>6281200000456</t>
        </is>
      </c>
      <c r="E196" s="14">
        <f>L196-K196</f>
        <v/>
      </c>
      <c r="F196" s="14" t="n">
        <v>0</v>
      </c>
      <c r="G196" s="14">
        <f>F196-E196</f>
        <v/>
      </c>
      <c r="H196" s="7" t="n">
        <v>60</v>
      </c>
      <c r="I196" s="7">
        <f>G196*H196</f>
        <v/>
      </c>
      <c r="J196" s="16" t="inlineStr">
        <is>
          <t>لم يُجرد</t>
        </is>
      </c>
      <c r="K196" s="14" t="n">
        <v>0</v>
      </c>
      <c r="L196" s="14" t="n">
        <v>8</v>
      </c>
      <c r="M196" s="5" t="inlineStr"/>
      <c r="N196" s="5" t="inlineStr"/>
    </row>
    <row r="197">
      <c r="A197" s="13" t="inlineStr">
        <is>
          <t>00019900</t>
        </is>
      </c>
      <c r="B197" s="5" t="inlineStr">
        <is>
          <t>[00019900] TRIPLEX B TAB WASFA</t>
        </is>
      </c>
      <c r="C197" s="5" t="inlineStr">
        <is>
          <t>دواء</t>
        </is>
      </c>
      <c r="D197" s="13" t="inlineStr"/>
      <c r="E197" s="14">
        <f>L197-K197</f>
        <v/>
      </c>
      <c r="F197" s="14" t="n">
        <v>0</v>
      </c>
      <c r="G197" s="14">
        <f>F197-E197</f>
        <v/>
      </c>
      <c r="H197" s="7" t="n">
        <v>19.8</v>
      </c>
      <c r="I197" s="7">
        <f>G197*H197</f>
        <v/>
      </c>
      <c r="J197" s="16" t="inlineStr">
        <is>
          <t>لم يُجرد</t>
        </is>
      </c>
      <c r="K197" s="14" t="n">
        <v>0</v>
      </c>
      <c r="L197" s="14" t="n">
        <v>37</v>
      </c>
      <c r="M197" s="5" t="inlineStr"/>
      <c r="N197" s="5" t="inlineStr"/>
    </row>
    <row r="198">
      <c r="A198" s="13" t="inlineStr">
        <is>
          <t>00045992</t>
        </is>
      </c>
      <c r="B198" s="5" t="inlineStr">
        <is>
          <t>[00045992] ACILOC 40MG 28 CAPS</t>
        </is>
      </c>
      <c r="C198" s="5" t="inlineStr">
        <is>
          <t>دواء</t>
        </is>
      </c>
      <c r="D198" s="13" t="inlineStr">
        <is>
          <t>06285128024891</t>
        </is>
      </c>
      <c r="E198" s="14">
        <f>L198-K198</f>
        <v/>
      </c>
      <c r="F198" s="14" t="n">
        <v>0</v>
      </c>
      <c r="G198" s="14">
        <f>F198-E198</f>
        <v/>
      </c>
      <c r="H198" s="7" t="n">
        <v>120.3</v>
      </c>
      <c r="I198" s="7">
        <f>G198*H198</f>
        <v/>
      </c>
      <c r="J198" s="16" t="inlineStr">
        <is>
          <t>لم يُجرد</t>
        </is>
      </c>
      <c r="K198" s="14" t="n">
        <v>0</v>
      </c>
      <c r="L198" s="14" t="n">
        <v>7</v>
      </c>
      <c r="M198" s="5" t="inlineStr"/>
      <c r="N198" s="5" t="inlineStr"/>
    </row>
    <row r="199">
      <c r="A199" s="13" t="inlineStr">
        <is>
          <t>00022177</t>
        </is>
      </c>
      <c r="B199" s="5" t="inlineStr">
        <is>
          <t>[00022177] DAILY TAB 60CHEWB TAB NHS</t>
        </is>
      </c>
      <c r="C199" s="5" t="inlineStr">
        <is>
          <t>دواء</t>
        </is>
      </c>
      <c r="D199" s="13" t="inlineStr">
        <is>
          <t>6286127000305</t>
        </is>
      </c>
      <c r="E199" s="14">
        <f>L199-K199</f>
        <v/>
      </c>
      <c r="F199" s="14" t="n">
        <v>0</v>
      </c>
      <c r="G199" s="14">
        <f>F199-E199</f>
        <v/>
      </c>
      <c r="H199" s="7" t="n">
        <v>85</v>
      </c>
      <c r="I199" s="7">
        <f>G199*H199</f>
        <v/>
      </c>
      <c r="J199" s="16" t="inlineStr">
        <is>
          <t>لم يُجرد</t>
        </is>
      </c>
      <c r="K199" s="14" t="n">
        <v>0</v>
      </c>
      <c r="L199" s="14" t="n">
        <v>9</v>
      </c>
      <c r="M199" s="5" t="inlineStr"/>
      <c r="N199" s="5" t="inlineStr"/>
    </row>
    <row r="200">
      <c r="A200" s="13" t="inlineStr">
        <is>
          <t>0004795</t>
        </is>
      </c>
      <c r="B200" s="5" t="inlineStr">
        <is>
          <t>[0004795] TOBRADEX EYE DROPS 5 ML</t>
        </is>
      </c>
      <c r="C200" s="5" t="inlineStr">
        <is>
          <t>دواء</t>
        </is>
      </c>
      <c r="D200" s="13" t="inlineStr">
        <is>
          <t>07612797435663</t>
        </is>
      </c>
      <c r="E200" s="14">
        <f>L200-K200</f>
        <v/>
      </c>
      <c r="F200" s="14" t="n">
        <v>0</v>
      </c>
      <c r="G200" s="14">
        <f>F200-E200</f>
        <v/>
      </c>
      <c r="H200" s="7" t="n">
        <v>21</v>
      </c>
      <c r="I200" s="7">
        <f>G200*H200</f>
        <v/>
      </c>
      <c r="J200" s="16" t="inlineStr">
        <is>
          <t>لم يُجرد</t>
        </is>
      </c>
      <c r="K200" s="14" t="n">
        <v>0</v>
      </c>
      <c r="L200" s="14" t="n">
        <v>23</v>
      </c>
      <c r="M200" s="5" t="inlineStr"/>
      <c r="N200" s="5" t="inlineStr"/>
    </row>
    <row r="201">
      <c r="A201" s="13" t="inlineStr">
        <is>
          <t>0005264</t>
        </is>
      </c>
      <c r="B201" s="5" t="inlineStr">
        <is>
          <t>[0005264] PEPTAZOL 30MG 14 CAP</t>
        </is>
      </c>
      <c r="C201" s="5" t="inlineStr">
        <is>
          <t>دواء</t>
        </is>
      </c>
      <c r="D201" s="13" t="inlineStr"/>
      <c r="E201" s="14">
        <f>L201-K201</f>
        <v/>
      </c>
      <c r="F201" s="14" t="n">
        <v>0</v>
      </c>
      <c r="G201" s="14">
        <f>F201-E201</f>
        <v/>
      </c>
      <c r="H201" s="7" t="n">
        <v>45.95</v>
      </c>
      <c r="I201" s="7">
        <f>G201*H201</f>
        <v/>
      </c>
      <c r="J201" s="16" t="inlineStr">
        <is>
          <t>لم يُجرد</t>
        </is>
      </c>
      <c r="K201" s="14" t="n">
        <v>0</v>
      </c>
      <c r="L201" s="14" t="n">
        <v>10.5</v>
      </c>
      <c r="M201" s="5" t="inlineStr"/>
      <c r="N201" s="5" t="inlineStr"/>
    </row>
    <row r="202">
      <c r="A202" s="13" t="inlineStr">
        <is>
          <t>0003358</t>
        </is>
      </c>
      <c r="B202" s="5" t="inlineStr">
        <is>
          <t>[0003358] AVALON K-JELLY LUBRICATING GEL</t>
        </is>
      </c>
      <c r="C202" s="5" t="inlineStr">
        <is>
          <t>دواء</t>
        </is>
      </c>
      <c r="D202" s="13" t="inlineStr">
        <is>
          <t>06285095007712</t>
        </is>
      </c>
      <c r="E202" s="14">
        <f>L202-K202</f>
        <v/>
      </c>
      <c r="F202" s="14" t="n">
        <v>0</v>
      </c>
      <c r="G202" s="14">
        <f>F202-E202</f>
        <v/>
      </c>
      <c r="H202" s="7" t="n">
        <v>35</v>
      </c>
      <c r="I202" s="7">
        <f>G202*H202</f>
        <v/>
      </c>
      <c r="J202" s="16" t="inlineStr">
        <is>
          <t>لم يُجرد</t>
        </is>
      </c>
      <c r="K202" s="14" t="n">
        <v>0</v>
      </c>
      <c r="L202" s="14" t="n">
        <v>25</v>
      </c>
      <c r="M202" s="5" t="inlineStr"/>
      <c r="N202" s="5" t="inlineStr"/>
    </row>
    <row r="203">
      <c r="A203" s="13" t="inlineStr">
        <is>
          <t>00012930</t>
        </is>
      </c>
      <c r="B203" s="5" t="inlineStr">
        <is>
          <t>[00012930] GLUCARE 500MG 50TAB</t>
        </is>
      </c>
      <c r="C203" s="5" t="inlineStr">
        <is>
          <t>دواء</t>
        </is>
      </c>
      <c r="D203" s="13" t="inlineStr">
        <is>
          <t>06285101000621</t>
        </is>
      </c>
      <c r="E203" s="14">
        <f>L203-K203</f>
        <v/>
      </c>
      <c r="F203" s="14" t="n">
        <v>0</v>
      </c>
      <c r="G203" s="14">
        <f>F203-E203</f>
        <v/>
      </c>
      <c r="H203" s="7" t="n">
        <v>14.9</v>
      </c>
      <c r="I203" s="7">
        <f>G203*H203</f>
        <v/>
      </c>
      <c r="J203" s="16" t="inlineStr">
        <is>
          <t>لم يُجرد</t>
        </is>
      </c>
      <c r="K203" s="14" t="n">
        <v>0</v>
      </c>
      <c r="L203" s="14" t="n">
        <v>32</v>
      </c>
      <c r="M203" s="5" t="inlineStr"/>
      <c r="N203" s="5" t="inlineStr"/>
    </row>
    <row r="204">
      <c r="A204" s="13" t="inlineStr">
        <is>
          <t>0004025</t>
        </is>
      </c>
      <c r="B204" s="5" t="inlineStr">
        <is>
          <t>[0004025] DUPHASTON 10 MG TAB TMR</t>
        </is>
      </c>
      <c r="C204" s="5" t="inlineStr">
        <is>
          <t>دواء</t>
        </is>
      </c>
      <c r="D204" s="13" t="inlineStr">
        <is>
          <t>08002660016263</t>
        </is>
      </c>
      <c r="E204" s="14">
        <f>L204-K204</f>
        <v/>
      </c>
      <c r="F204" s="14" t="n">
        <v>0</v>
      </c>
      <c r="G204" s="14">
        <f>F204-E204</f>
        <v/>
      </c>
      <c r="H204" s="7" t="n">
        <v>52.9</v>
      </c>
      <c r="I204" s="7">
        <f>G204*H204</f>
        <v/>
      </c>
      <c r="J204" s="16" t="inlineStr">
        <is>
          <t>لم يُجرد</t>
        </is>
      </c>
      <c r="K204" s="14" t="n">
        <v>0</v>
      </c>
      <c r="L204" s="14" t="n">
        <v>9</v>
      </c>
      <c r="M204" s="5" t="inlineStr"/>
      <c r="N204" s="5" t="inlineStr"/>
    </row>
    <row r="205">
      <c r="A205" s="13" t="inlineStr">
        <is>
          <t>00011886</t>
        </is>
      </c>
      <c r="B205" s="5" t="inlineStr">
        <is>
          <t>[00011886] CALAMYL LOTION 100MLWASFA</t>
        </is>
      </c>
      <c r="C205" s="5" t="inlineStr">
        <is>
          <t>دواء</t>
        </is>
      </c>
      <c r="D205" s="13" t="inlineStr">
        <is>
          <t>6221508140126</t>
        </is>
      </c>
      <c r="E205" s="14">
        <f>L205-K205</f>
        <v/>
      </c>
      <c r="F205" s="14" t="n">
        <v>0</v>
      </c>
      <c r="G205" s="14">
        <f>F205-E205</f>
        <v/>
      </c>
      <c r="H205" s="7" t="n">
        <v>25</v>
      </c>
      <c r="I205" s="7">
        <f>G205*H205</f>
        <v/>
      </c>
      <c r="J205" s="16" t="inlineStr">
        <is>
          <t>لم يُجرد</t>
        </is>
      </c>
      <c r="K205" s="14" t="n">
        <v>0</v>
      </c>
      <c r="L205" s="14" t="n">
        <v>19</v>
      </c>
      <c r="M205" s="5" t="inlineStr"/>
      <c r="N205" s="5" t="inlineStr"/>
    </row>
    <row r="206">
      <c r="A206" s="13" t="inlineStr">
        <is>
          <t>00032106</t>
        </is>
      </c>
      <c r="B206" s="5" t="inlineStr">
        <is>
          <t>[00032106] GLYCELAX 700 MG INFANTS 12 SUPP</t>
        </is>
      </c>
      <c r="C206" s="5" t="inlineStr">
        <is>
          <t>دواء</t>
        </is>
      </c>
      <c r="D206" s="13" t="inlineStr">
        <is>
          <t>0793150467075</t>
        </is>
      </c>
      <c r="E206" s="14">
        <f>L206-K206</f>
        <v/>
      </c>
      <c r="F206" s="14" t="n">
        <v>0</v>
      </c>
      <c r="G206" s="14">
        <f>F206-E206</f>
        <v/>
      </c>
      <c r="H206" s="7" t="n">
        <v>62.1</v>
      </c>
      <c r="I206" s="7">
        <f>G206*H206</f>
        <v/>
      </c>
      <c r="J206" s="16" t="inlineStr">
        <is>
          <t>لم يُجرد</t>
        </is>
      </c>
      <c r="K206" s="14" t="n">
        <v>0</v>
      </c>
      <c r="L206" s="14" t="n">
        <v>9.5</v>
      </c>
      <c r="M206" s="5" t="inlineStr"/>
      <c r="N206" s="5" t="inlineStr"/>
    </row>
    <row r="207">
      <c r="A207" s="13" t="inlineStr">
        <is>
          <t>0003881</t>
        </is>
      </c>
      <c r="B207" s="5" t="inlineStr">
        <is>
          <t>[0003881] ENTAPRO 10MG COATED TAB</t>
        </is>
      </c>
      <c r="C207" s="5" t="inlineStr">
        <is>
          <t>دواء</t>
        </is>
      </c>
      <c r="D207" s="13" t="inlineStr">
        <is>
          <t>06281086012673</t>
        </is>
      </c>
      <c r="E207" s="14">
        <f>L207-K207</f>
        <v/>
      </c>
      <c r="F207" s="14" t="n">
        <v>0</v>
      </c>
      <c r="G207" s="14">
        <f>F207-E207</f>
        <v/>
      </c>
      <c r="H207" s="7" t="n">
        <v>75.2</v>
      </c>
      <c r="I207" s="7">
        <f>G207*H207</f>
        <v/>
      </c>
      <c r="J207" s="16" t="inlineStr">
        <is>
          <t>لم يُجرد</t>
        </is>
      </c>
      <c r="K207" s="14" t="n">
        <v>0</v>
      </c>
      <c r="L207" s="14" t="n">
        <v>6</v>
      </c>
      <c r="M207" s="5" t="inlineStr"/>
      <c r="N207" s="5" t="inlineStr"/>
    </row>
    <row r="208">
      <c r="A208" s="13" t="inlineStr">
        <is>
          <t>0003440</t>
        </is>
      </c>
      <c r="B208" s="5" t="inlineStr">
        <is>
          <t>[0003440] ITRAZOL 100MG 15 CAPS</t>
        </is>
      </c>
      <c r="C208" s="5" t="inlineStr">
        <is>
          <t>دواء</t>
        </is>
      </c>
      <c r="D208" s="13" t="inlineStr">
        <is>
          <t>3701730015681</t>
        </is>
      </c>
      <c r="E208" s="14">
        <f>L208-K208</f>
        <v/>
      </c>
      <c r="F208" s="14" t="n">
        <v>0</v>
      </c>
      <c r="G208" s="14">
        <f>F208-E208</f>
        <v/>
      </c>
      <c r="H208" s="7" t="n">
        <v>112.45</v>
      </c>
      <c r="I208" s="7">
        <f>G208*H208</f>
        <v/>
      </c>
      <c r="J208" s="16" t="inlineStr">
        <is>
          <t>لم يُجرد</t>
        </is>
      </c>
      <c r="K208" s="14" t="n">
        <v>0</v>
      </c>
      <c r="L208" s="14" t="n">
        <v>4</v>
      </c>
      <c r="M208" s="5" t="inlineStr"/>
      <c r="N208" s="5" t="inlineStr"/>
    </row>
    <row r="209">
      <c r="A209" s="13" t="inlineStr">
        <is>
          <t>00026223</t>
        </is>
      </c>
      <c r="B209" s="5" t="inlineStr">
        <is>
          <t>[00026223] SUPRA 120CAP</t>
        </is>
      </c>
      <c r="C209" s="5" t="inlineStr">
        <is>
          <t>دواء</t>
        </is>
      </c>
      <c r="D209" s="13" t="inlineStr">
        <is>
          <t>602024193845</t>
        </is>
      </c>
      <c r="E209" s="14">
        <f>L209-K209</f>
        <v/>
      </c>
      <c r="F209" s="14" t="n">
        <v>0</v>
      </c>
      <c r="G209" s="14">
        <f>F209-E209</f>
        <v/>
      </c>
      <c r="H209" s="7" t="n">
        <v>201.6</v>
      </c>
      <c r="I209" s="7">
        <f>G209*H209</f>
        <v/>
      </c>
      <c r="J209" s="16" t="inlineStr">
        <is>
          <t>لم يُجرد</t>
        </is>
      </c>
      <c r="K209" s="14" t="n">
        <v>0</v>
      </c>
      <c r="L209" s="14" t="n">
        <v>3</v>
      </c>
      <c r="M209" s="5" t="inlineStr"/>
      <c r="N209" s="5" t="inlineStr"/>
    </row>
    <row r="210">
      <c r="A210" s="13" t="inlineStr">
        <is>
          <t>00016341</t>
        </is>
      </c>
      <c r="B210" s="5" t="inlineStr">
        <is>
          <t>[00016341] DEVARIN 20 MG TAB</t>
        </is>
      </c>
      <c r="C210" s="5" t="inlineStr">
        <is>
          <t>دواء</t>
        </is>
      </c>
      <c r="D210" s="13" t="inlineStr">
        <is>
          <t>08430469169741</t>
        </is>
      </c>
      <c r="E210" s="14">
        <f>L210-K210</f>
        <v/>
      </c>
      <c r="F210" s="14" t="n">
        <v>0</v>
      </c>
      <c r="G210" s="14">
        <f>F210-E210</f>
        <v/>
      </c>
      <c r="H210" s="7" t="n">
        <v>68.7</v>
      </c>
      <c r="I210" s="7">
        <f>G210*H210</f>
        <v/>
      </c>
      <c r="J210" s="16" t="inlineStr">
        <is>
          <t>لم يُجرد</t>
        </is>
      </c>
      <c r="K210" s="14" t="n">
        <v>0</v>
      </c>
      <c r="L210" s="14" t="n">
        <v>6.5</v>
      </c>
      <c r="M210" s="5" t="inlineStr"/>
      <c r="N210" s="5" t="inlineStr"/>
    </row>
    <row r="211">
      <c r="A211" s="13" t="inlineStr">
        <is>
          <t>0005318</t>
        </is>
      </c>
      <c r="B211" s="5" t="inlineStr">
        <is>
          <t>[0005318] PANADOL 500 MG FILM-COATED TAB 74265</t>
        </is>
      </c>
      <c r="C211" s="5" t="inlineStr">
        <is>
          <t>دواء</t>
        </is>
      </c>
      <c r="D211" s="13" t="inlineStr">
        <is>
          <t>06286740000348</t>
        </is>
      </c>
      <c r="E211" s="14">
        <f>L211-K211</f>
        <v/>
      </c>
      <c r="F211" s="14" t="n">
        <v>0</v>
      </c>
      <c r="G211" s="14">
        <f>F211-E211</f>
        <v/>
      </c>
      <c r="H211" s="7" t="n">
        <v>5.8</v>
      </c>
      <c r="I211" s="7">
        <f>G211*H211</f>
        <v/>
      </c>
      <c r="J211" s="16" t="inlineStr">
        <is>
          <t>لم يُجرد</t>
        </is>
      </c>
      <c r="K211" s="14" t="n">
        <v>0</v>
      </c>
      <c r="L211" s="14" t="n">
        <v>79</v>
      </c>
      <c r="M211" s="5" t="inlineStr"/>
      <c r="N211" s="5" t="inlineStr"/>
    </row>
    <row r="212">
      <c r="A212" s="13" t="inlineStr">
        <is>
          <t>0005760</t>
        </is>
      </c>
      <c r="B212" s="5" t="inlineStr">
        <is>
          <t>[0005760] ASPIRIN PROTECT 100MG 60TAB</t>
        </is>
      </c>
      <c r="C212" s="5" t="inlineStr">
        <is>
          <t>دواء</t>
        </is>
      </c>
      <c r="D212" s="13" t="inlineStr">
        <is>
          <t>06285074001113</t>
        </is>
      </c>
      <c r="E212" s="14">
        <f>L212-K212</f>
        <v/>
      </c>
      <c r="F212" s="14" t="n">
        <v>0</v>
      </c>
      <c r="G212" s="14">
        <f>F212-E212</f>
        <v/>
      </c>
      <c r="H212" s="7" t="n">
        <v>19.05</v>
      </c>
      <c r="I212" s="7">
        <f>G212*H212</f>
        <v/>
      </c>
      <c r="J212" s="16" t="inlineStr">
        <is>
          <t>لم يُجرد</t>
        </is>
      </c>
      <c r="K212" s="14" t="n">
        <v>0</v>
      </c>
      <c r="L212" s="14" t="n">
        <v>24</v>
      </c>
      <c r="M212" s="5" t="inlineStr"/>
      <c r="N212" s="5" t="inlineStr"/>
    </row>
    <row r="213">
      <c r="A213" s="13" t="inlineStr">
        <is>
          <t>00019494</t>
        </is>
      </c>
      <c r="B213" s="5" t="inlineStr">
        <is>
          <t>[00019494] OZEMPIC 0.25 MG PEN</t>
        </is>
      </c>
      <c r="C213" s="5" t="inlineStr">
        <is>
          <t>دواء</t>
        </is>
      </c>
      <c r="D213" s="13" t="inlineStr"/>
      <c r="E213" s="14">
        <f>L213-K213</f>
        <v/>
      </c>
      <c r="F213" s="14" t="n">
        <v>0</v>
      </c>
      <c r="G213" s="14">
        <f>F213-E213</f>
        <v/>
      </c>
      <c r="H213" s="7" t="n">
        <v>418.65</v>
      </c>
      <c r="I213" s="7">
        <f>G213*H213</f>
        <v/>
      </c>
      <c r="J213" s="16" t="inlineStr">
        <is>
          <t>لم يُجرد</t>
        </is>
      </c>
      <c r="K213" s="14" t="n">
        <v>0</v>
      </c>
      <c r="L213" s="14" t="n">
        <v>1</v>
      </c>
      <c r="M213" s="5" t="inlineStr"/>
      <c r="N213" s="5" t="inlineStr"/>
    </row>
    <row r="214">
      <c r="A214" s="13" t="inlineStr">
        <is>
          <t>00015023</t>
        </is>
      </c>
      <c r="B214" s="5" t="inlineStr">
        <is>
          <t>[00015023] FORMIT XR 750 MG 60TAB</t>
        </is>
      </c>
      <c r="C214" s="5" t="inlineStr">
        <is>
          <t>دواء</t>
        </is>
      </c>
      <c r="D214" s="13" t="inlineStr">
        <is>
          <t>06281086013687</t>
        </is>
      </c>
      <c r="E214" s="14">
        <f>L214-K214</f>
        <v/>
      </c>
      <c r="F214" s="14" t="n">
        <v>0</v>
      </c>
      <c r="G214" s="14">
        <f>F214-E214</f>
        <v/>
      </c>
      <c r="H214" s="7" t="n">
        <v>45</v>
      </c>
      <c r="I214" s="7">
        <f>G214*H214</f>
        <v/>
      </c>
      <c r="J214" s="16" t="inlineStr">
        <is>
          <t>لم يُجرد</t>
        </is>
      </c>
      <c r="K214" s="14" t="n">
        <v>0</v>
      </c>
      <c r="L214" s="14" t="n">
        <v>10</v>
      </c>
      <c r="M214" s="5" t="inlineStr"/>
      <c r="N214" s="5" t="inlineStr"/>
    </row>
    <row r="215">
      <c r="A215" s="13" t="inlineStr">
        <is>
          <t>0003577</t>
        </is>
      </c>
      <c r="B215" s="5" t="inlineStr">
        <is>
          <t>[0003577] GLIM 6MG 30TAB</t>
        </is>
      </c>
      <c r="C215" s="5" t="inlineStr">
        <is>
          <t>دواء</t>
        </is>
      </c>
      <c r="D215" s="13" t="inlineStr">
        <is>
          <t>06281086012819</t>
        </is>
      </c>
      <c r="E215" s="14">
        <f>L215-K215</f>
        <v/>
      </c>
      <c r="F215" s="14" t="n">
        <v>0</v>
      </c>
      <c r="G215" s="14">
        <f>F215-E215</f>
        <v/>
      </c>
      <c r="H215" s="7" t="n">
        <v>49.75</v>
      </c>
      <c r="I215" s="7">
        <f>G215*H215</f>
        <v/>
      </c>
      <c r="J215" s="16" t="inlineStr">
        <is>
          <t>لم يُجرد</t>
        </is>
      </c>
      <c r="K215" s="14" t="n">
        <v>0</v>
      </c>
      <c r="L215" s="14" t="n">
        <v>9</v>
      </c>
      <c r="M215" s="5" t="inlineStr"/>
      <c r="N215" s="5" t="inlineStr"/>
    </row>
    <row r="216">
      <c r="A216" s="13" t="inlineStr">
        <is>
          <t>00046098</t>
        </is>
      </c>
      <c r="B216" s="5" t="inlineStr">
        <is>
          <t>[00046098] MUCOPLEXIL SYRUP 150ML 1614</t>
        </is>
      </c>
      <c r="C216" s="5" t="inlineStr">
        <is>
          <t>دواء</t>
        </is>
      </c>
      <c r="D216" s="13" t="inlineStr">
        <is>
          <t>3664798031614</t>
        </is>
      </c>
      <c r="E216" s="14">
        <f>L216-K216</f>
        <v/>
      </c>
      <c r="F216" s="14" t="n">
        <v>0</v>
      </c>
      <c r="G216" s="14">
        <f>F216-E216</f>
        <v/>
      </c>
      <c r="H216" s="7" t="n">
        <v>26.25</v>
      </c>
      <c r="I216" s="7">
        <f>G216*H216</f>
        <v/>
      </c>
      <c r="J216" s="16" t="inlineStr">
        <is>
          <t>لم يُجرد</t>
        </is>
      </c>
      <c r="K216" s="14" t="n">
        <v>0</v>
      </c>
      <c r="L216" s="14" t="n">
        <v>17</v>
      </c>
      <c r="M216" s="5" t="inlineStr"/>
      <c r="N216" s="5" t="inlineStr"/>
    </row>
    <row r="217">
      <c r="A217" s="13" t="inlineStr">
        <is>
          <t>00031985</t>
        </is>
      </c>
      <c r="B217" s="5" t="inlineStr">
        <is>
          <t>[00031985] JP VITAMIN D3 1000IU 90 CAP</t>
        </is>
      </c>
      <c r="C217" s="5" t="inlineStr">
        <is>
          <t>دواء</t>
        </is>
      </c>
      <c r="D217" s="13" t="inlineStr">
        <is>
          <t>06285128022194</t>
        </is>
      </c>
      <c r="E217" s="14">
        <f>L217-K217</f>
        <v/>
      </c>
      <c r="F217" s="14" t="n">
        <v>0</v>
      </c>
      <c r="G217" s="14">
        <f>F217-E217</f>
        <v/>
      </c>
      <c r="H217" s="7" t="n">
        <v>49.5</v>
      </c>
      <c r="I217" s="7">
        <f>G217*H217</f>
        <v/>
      </c>
      <c r="J217" s="16" t="inlineStr">
        <is>
          <t>لم يُجرد</t>
        </is>
      </c>
      <c r="K217" s="14" t="n">
        <v>0</v>
      </c>
      <c r="L217" s="14" t="n">
        <v>9</v>
      </c>
      <c r="M217" s="5" t="inlineStr"/>
      <c r="N217" s="5" t="inlineStr"/>
    </row>
    <row r="218">
      <c r="A218" s="13" t="inlineStr">
        <is>
          <t>00018752</t>
        </is>
      </c>
      <c r="B218" s="5" t="inlineStr">
        <is>
          <t>[00018752] MULTIVITAMIN BIOTIN. ZINC.  MOTHERNEST CANDY</t>
        </is>
      </c>
      <c r="C218" s="5" t="inlineStr">
        <is>
          <t>دواء</t>
        </is>
      </c>
      <c r="D218" s="13" t="inlineStr">
        <is>
          <t>9327155006888</t>
        </is>
      </c>
      <c r="E218" s="14">
        <f>L218-K218</f>
        <v/>
      </c>
      <c r="F218" s="14" t="n">
        <v>0</v>
      </c>
      <c r="G218" s="14">
        <f>F218-E218</f>
        <v/>
      </c>
      <c r="H218" s="7" t="n">
        <v>130</v>
      </c>
      <c r="I218" s="7">
        <f>G218*H218</f>
        <v/>
      </c>
      <c r="J218" s="16" t="inlineStr">
        <is>
          <t>لم يُجرد</t>
        </is>
      </c>
      <c r="K218" s="14" t="n">
        <v>0</v>
      </c>
      <c r="L218" s="14" t="n">
        <v>5</v>
      </c>
      <c r="M218" s="5" t="inlineStr"/>
      <c r="N218" s="5" t="inlineStr"/>
    </row>
    <row r="219">
      <c r="A219" s="13" t="inlineStr">
        <is>
          <t>0005676</t>
        </is>
      </c>
      <c r="B219" s="5" t="inlineStr">
        <is>
          <t>[0005676] MEGAMOX 457 MG SUSP 70 ML</t>
        </is>
      </c>
      <c r="C219" s="5" t="inlineStr">
        <is>
          <t>دواء</t>
        </is>
      </c>
      <c r="D219" s="13" t="inlineStr"/>
      <c r="E219" s="14">
        <f>L219-K219</f>
        <v/>
      </c>
      <c r="F219" s="14" t="n">
        <v>0</v>
      </c>
      <c r="G219" s="14">
        <f>F219-E219</f>
        <v/>
      </c>
      <c r="H219" s="7" t="n">
        <v>29.55</v>
      </c>
      <c r="I219" s="7">
        <f>G219*H219</f>
        <v/>
      </c>
      <c r="J219" s="16" t="inlineStr">
        <is>
          <t>لم يُجرد</t>
        </is>
      </c>
      <c r="K219" s="14" t="n">
        <v>0</v>
      </c>
      <c r="L219" s="14" t="n">
        <v>15</v>
      </c>
      <c r="M219" s="5" t="inlineStr"/>
      <c r="N219" s="5" t="inlineStr"/>
    </row>
    <row r="220">
      <c r="A220" s="13" t="inlineStr">
        <is>
          <t>0005314</t>
        </is>
      </c>
      <c r="B220" s="5" t="inlineStr">
        <is>
          <t>[0005314] PANTOMAX 40MG 15 TAB</t>
        </is>
      </c>
      <c r="C220" s="5" t="inlineStr">
        <is>
          <t>دواء</t>
        </is>
      </c>
      <c r="D220" s="13" t="inlineStr">
        <is>
          <t>01062850940001101720</t>
        </is>
      </c>
      <c r="E220" s="14">
        <f>L220-K220</f>
        <v/>
      </c>
      <c r="F220" s="14" t="n">
        <v>0</v>
      </c>
      <c r="G220" s="14">
        <f>F220-E220</f>
        <v/>
      </c>
      <c r="H220" s="7" t="n">
        <v>31.65</v>
      </c>
      <c r="I220" s="7">
        <f>G220*H220</f>
        <v/>
      </c>
      <c r="J220" s="16" t="inlineStr">
        <is>
          <t>لم يُجرد</t>
        </is>
      </c>
      <c r="K220" s="14" t="n">
        <v>0</v>
      </c>
      <c r="L220" s="14" t="n">
        <v>14</v>
      </c>
      <c r="M220" s="5" t="inlineStr"/>
      <c r="N220" s="5" t="inlineStr"/>
    </row>
    <row r="221">
      <c r="A221" s="13" t="inlineStr">
        <is>
          <t>00018402</t>
        </is>
      </c>
      <c r="B221" s="5" t="inlineStr">
        <is>
          <t>[00018402] PILOCIN CREAM 30 GM</t>
        </is>
      </c>
      <c r="C221" s="5" t="inlineStr">
        <is>
          <t>دواء</t>
        </is>
      </c>
      <c r="D221" s="13" t="inlineStr"/>
      <c r="E221" s="14">
        <f>L221-K221</f>
        <v/>
      </c>
      <c r="F221" s="14" t="n">
        <v>0</v>
      </c>
      <c r="G221" s="14">
        <f>F221-E221</f>
        <v/>
      </c>
      <c r="H221" s="7" t="n">
        <v>15</v>
      </c>
      <c r="I221" s="7">
        <f>G221*H221</f>
        <v/>
      </c>
      <c r="J221" s="16" t="inlineStr">
        <is>
          <t>لم يُجرد</t>
        </is>
      </c>
      <c r="K221" s="14" t="n">
        <v>0</v>
      </c>
      <c r="L221" s="14" t="n">
        <v>38</v>
      </c>
      <c r="M221" s="5" t="inlineStr"/>
      <c r="N221" s="5" t="inlineStr"/>
    </row>
    <row r="222">
      <c r="A222" s="13" t="inlineStr">
        <is>
          <t>00018939</t>
        </is>
      </c>
      <c r="B222" s="5" t="inlineStr">
        <is>
          <t>[00018939] VICKS VAPODROPS HONY 36 LEMON MENTHOL 36 LOG</t>
        </is>
      </c>
      <c r="C222" s="5" t="inlineStr">
        <is>
          <t>دواء</t>
        </is>
      </c>
      <c r="D222" s="13" t="inlineStr">
        <is>
          <t>8001841469829</t>
        </is>
      </c>
      <c r="E222" s="14">
        <f>L222-K222</f>
        <v/>
      </c>
      <c r="F222" s="14" t="n">
        <v>0</v>
      </c>
      <c r="G222" s="14">
        <f>F222-E222</f>
        <v/>
      </c>
      <c r="H222" s="7" t="n">
        <v>39.5</v>
      </c>
      <c r="I222" s="7">
        <f>G222*H222</f>
        <v/>
      </c>
      <c r="J222" s="16" t="inlineStr">
        <is>
          <t>لم يُجرد</t>
        </is>
      </c>
      <c r="K222" s="14" t="n">
        <v>0</v>
      </c>
      <c r="L222" s="14" t="n">
        <v>14</v>
      </c>
      <c r="M222" s="5" t="inlineStr"/>
      <c r="N222" s="5" t="inlineStr"/>
    </row>
    <row r="223">
      <c r="A223" s="13" t="inlineStr">
        <is>
          <t>0004150</t>
        </is>
      </c>
      <c r="B223" s="5" t="inlineStr">
        <is>
          <t>[0004150] AGOUT 40MG 30TAB</t>
        </is>
      </c>
      <c r="C223" s="5" t="inlineStr">
        <is>
          <t>دواء</t>
        </is>
      </c>
      <c r="D223" s="13" t="inlineStr">
        <is>
          <t>06281086012949</t>
        </is>
      </c>
      <c r="E223" s="14">
        <f>L223-K223</f>
        <v/>
      </c>
      <c r="F223" s="14" t="n">
        <v>0</v>
      </c>
      <c r="G223" s="14">
        <f>F223-E223</f>
        <v/>
      </c>
      <c r="H223" s="7" t="n">
        <v>106</v>
      </c>
      <c r="I223" s="7">
        <f>G223*H223</f>
        <v/>
      </c>
      <c r="J223" s="16" t="inlineStr">
        <is>
          <t>لم يُجرد</t>
        </is>
      </c>
      <c r="K223" s="14" t="n">
        <v>0</v>
      </c>
      <c r="L223" s="14" t="n">
        <v>4</v>
      </c>
      <c r="M223" s="5" t="inlineStr"/>
      <c r="N223" s="5" t="inlineStr"/>
    </row>
    <row r="224">
      <c r="A224" s="13" t="inlineStr">
        <is>
          <t>0004191</t>
        </is>
      </c>
      <c r="B224" s="5" t="inlineStr">
        <is>
          <t>[0004191] DECOZAL 0.5% CHILD NASAL DROPS</t>
        </is>
      </c>
      <c r="C224" s="5" t="inlineStr">
        <is>
          <t>دواء</t>
        </is>
      </c>
      <c r="D224" s="13" t="inlineStr">
        <is>
          <t>06251151000263</t>
        </is>
      </c>
      <c r="E224" s="14">
        <f>L224-K224</f>
        <v/>
      </c>
      <c r="F224" s="14" t="n">
        <v>0</v>
      </c>
      <c r="G224" s="14">
        <f>F224-E224</f>
        <v/>
      </c>
      <c r="H224" s="7" t="n">
        <v>5.5</v>
      </c>
      <c r="I224" s="7">
        <f>G224*H224</f>
        <v/>
      </c>
      <c r="J224" s="16" t="inlineStr">
        <is>
          <t>لم يُجرد</t>
        </is>
      </c>
      <c r="K224" s="14" t="n">
        <v>0</v>
      </c>
      <c r="L224" s="14" t="n">
        <v>80</v>
      </c>
      <c r="M224" s="5" t="inlineStr"/>
      <c r="N224" s="5" t="inlineStr"/>
    </row>
    <row r="225">
      <c r="A225" s="13" t="inlineStr">
        <is>
          <t>0005672</t>
        </is>
      </c>
      <c r="B225" s="5" t="inlineStr">
        <is>
          <t>[0005672] MEGAMOX 1GM 14 TAB</t>
        </is>
      </c>
      <c r="C225" s="5" t="inlineStr">
        <is>
          <t>دواء</t>
        </is>
      </c>
      <c r="D225" s="13" t="inlineStr">
        <is>
          <t>06285101000393</t>
        </is>
      </c>
      <c r="E225" s="14">
        <f>L225-K225</f>
        <v/>
      </c>
      <c r="F225" s="14" t="n">
        <v>0</v>
      </c>
      <c r="G225" s="14">
        <f>F225-E225</f>
        <v/>
      </c>
      <c r="H225" s="7" t="n">
        <v>70.09999999999999</v>
      </c>
      <c r="I225" s="7">
        <f>G225*H225</f>
        <v/>
      </c>
      <c r="J225" s="16" t="inlineStr">
        <is>
          <t>لم يُجرد</t>
        </is>
      </c>
      <c r="K225" s="14" t="n">
        <v>0</v>
      </c>
      <c r="L225" s="14" t="n">
        <v>6</v>
      </c>
      <c r="M225" s="5" t="inlineStr"/>
      <c r="N225" s="5" t="inlineStr"/>
    </row>
    <row r="226">
      <c r="A226" s="13" t="inlineStr">
        <is>
          <t>00040404</t>
        </is>
      </c>
      <c r="B226" s="5" t="inlineStr">
        <is>
          <t>[00040404] GYNOCARE 10TUBE* 5ML 3747</t>
        </is>
      </c>
      <c r="C226" s="5" t="inlineStr">
        <is>
          <t>دواء</t>
        </is>
      </c>
      <c r="D226" s="13" t="inlineStr">
        <is>
          <t>795697003747</t>
        </is>
      </c>
      <c r="E226" s="14">
        <f>L226-K226</f>
        <v/>
      </c>
      <c r="F226" s="14" t="n">
        <v>0</v>
      </c>
      <c r="G226" s="14">
        <f>F226-E226</f>
        <v/>
      </c>
      <c r="H226" s="7" t="n">
        <v>180</v>
      </c>
      <c r="I226" s="7">
        <f>G226*H226</f>
        <v/>
      </c>
      <c r="J226" s="16" t="inlineStr">
        <is>
          <t>لم يُجرد</t>
        </is>
      </c>
      <c r="K226" s="14" t="n">
        <v>0</v>
      </c>
      <c r="L226" s="14" t="n">
        <v>2</v>
      </c>
      <c r="M226" s="5" t="inlineStr"/>
      <c r="N226" s="5" t="inlineStr"/>
    </row>
    <row r="227">
      <c r="A227" s="13" t="inlineStr">
        <is>
          <t>0005208</t>
        </is>
      </c>
      <c r="B227" s="5" t="inlineStr">
        <is>
          <t>[0005208] RESOVA 20MG 30TAB</t>
        </is>
      </c>
      <c r="C227" s="5" t="inlineStr">
        <is>
          <t>دواء</t>
        </is>
      </c>
      <c r="D227" s="13" t="inlineStr">
        <is>
          <t>01062851010016041078</t>
        </is>
      </c>
      <c r="E227" s="14">
        <f>L227-K227</f>
        <v/>
      </c>
      <c r="F227" s="14" t="n">
        <v>0</v>
      </c>
      <c r="G227" s="14">
        <f>F227-E227</f>
        <v/>
      </c>
      <c r="H227" s="7" t="n">
        <v>115.45</v>
      </c>
      <c r="I227" s="7">
        <f>G227*H227</f>
        <v/>
      </c>
      <c r="J227" s="16" t="inlineStr">
        <is>
          <t>لم يُجرد</t>
        </is>
      </c>
      <c r="K227" s="14" t="n">
        <v>0</v>
      </c>
      <c r="L227" s="14" t="n">
        <v>4</v>
      </c>
      <c r="M227" s="5" t="inlineStr"/>
      <c r="N227" s="5" t="inlineStr"/>
    </row>
    <row r="228">
      <c r="A228" s="13" t="inlineStr">
        <is>
          <t>0004874</t>
        </is>
      </c>
      <c r="B228" s="5" t="inlineStr">
        <is>
          <t>[0004874] SIMVA 10 MG 30 TABLETS WASFA</t>
        </is>
      </c>
      <c r="C228" s="5" t="inlineStr">
        <is>
          <t>دواء</t>
        </is>
      </c>
      <c r="D228" s="13" t="inlineStr">
        <is>
          <t>010628512800082610ud</t>
        </is>
      </c>
      <c r="E228" s="14">
        <f>L228-K228</f>
        <v/>
      </c>
      <c r="F228" s="14" t="n">
        <v>0</v>
      </c>
      <c r="G228" s="14">
        <f>F228-E228</f>
        <v/>
      </c>
      <c r="H228" s="7" t="n">
        <v>56.9</v>
      </c>
      <c r="I228" s="7">
        <f>G228*H228</f>
        <v/>
      </c>
      <c r="J228" s="16" t="inlineStr">
        <is>
          <t>لم يُجرد</t>
        </is>
      </c>
      <c r="K228" s="14" t="n">
        <v>0</v>
      </c>
      <c r="L228" s="14" t="n">
        <v>7</v>
      </c>
      <c r="M228" s="5" t="inlineStr"/>
      <c r="N228" s="5" t="inlineStr"/>
    </row>
    <row r="229">
      <c r="A229" s="13" t="inlineStr">
        <is>
          <t>0003940</t>
        </is>
      </c>
      <c r="B229" s="5" t="inlineStr">
        <is>
          <t>[0003940] DIAMICRON MR 30MG 30TAB</t>
        </is>
      </c>
      <c r="C229" s="5" t="inlineStr">
        <is>
          <t>دواء</t>
        </is>
      </c>
      <c r="D229" s="13" t="inlineStr">
        <is>
          <t>03664898126227</t>
        </is>
      </c>
      <c r="E229" s="14">
        <f>L229-K229</f>
        <v/>
      </c>
      <c r="F229" s="14" t="n">
        <v>0</v>
      </c>
      <c r="G229" s="14">
        <f>F229-E229</f>
        <v/>
      </c>
      <c r="H229" s="7" t="n">
        <v>24</v>
      </c>
      <c r="I229" s="7">
        <f>G229*H229</f>
        <v/>
      </c>
      <c r="J229" s="16" t="inlineStr">
        <is>
          <t>لم يُجرد</t>
        </is>
      </c>
      <c r="K229" s="14" t="n">
        <v>0</v>
      </c>
      <c r="L229" s="14" t="n">
        <v>18</v>
      </c>
      <c r="M229" s="5" t="inlineStr"/>
      <c r="N229" s="5" t="inlineStr"/>
    </row>
    <row r="230">
      <c r="A230" s="13" t="inlineStr">
        <is>
          <t>00028686</t>
        </is>
      </c>
      <c r="B230" s="5" t="inlineStr">
        <is>
          <t>[00028686] JP OMEGAKRILL  500MG 60 CAP</t>
        </is>
      </c>
      <c r="C230" s="5" t="inlineStr">
        <is>
          <t>دواء</t>
        </is>
      </c>
      <c r="D230" s="13" t="inlineStr"/>
      <c r="E230" s="14">
        <f>L230-K230</f>
        <v/>
      </c>
      <c r="F230" s="14" t="n">
        <v>0</v>
      </c>
      <c r="G230" s="14">
        <f>F230-E230</f>
        <v/>
      </c>
      <c r="H230" s="7" t="n">
        <v>140</v>
      </c>
      <c r="I230" s="7">
        <f>G230*H230</f>
        <v/>
      </c>
      <c r="J230" s="16" t="inlineStr">
        <is>
          <t>لم يُجرد</t>
        </is>
      </c>
      <c r="K230" s="14" t="n">
        <v>0</v>
      </c>
      <c r="L230" s="14" t="n">
        <v>3</v>
      </c>
      <c r="M230" s="5" t="inlineStr"/>
      <c r="N230" s="5" t="inlineStr"/>
    </row>
    <row r="231">
      <c r="A231" s="13" t="inlineStr">
        <is>
          <t>0005119</t>
        </is>
      </c>
      <c r="B231" s="5" t="inlineStr">
        <is>
          <t>[0005119] PROTON 20MG 14TAB</t>
        </is>
      </c>
      <c r="C231" s="5" t="inlineStr">
        <is>
          <t>دواء</t>
        </is>
      </c>
      <c r="D231" s="13" t="inlineStr"/>
      <c r="E231" s="14">
        <f>L231-K231</f>
        <v/>
      </c>
      <c r="F231" s="14" t="n">
        <v>0</v>
      </c>
      <c r="G231" s="14">
        <f>F231-E231</f>
        <v/>
      </c>
      <c r="H231" s="7" t="n">
        <v>27.2</v>
      </c>
      <c r="I231" s="7">
        <f>G231*H231</f>
        <v/>
      </c>
      <c r="J231" s="16" t="inlineStr">
        <is>
          <t>لم يُجرد</t>
        </is>
      </c>
      <c r="K231" s="14" t="n">
        <v>0</v>
      </c>
      <c r="L231" s="14" t="n">
        <v>18</v>
      </c>
      <c r="M231" s="5" t="inlineStr"/>
      <c r="N231" s="5" t="inlineStr"/>
    </row>
    <row r="232">
      <c r="A232" s="13" t="inlineStr">
        <is>
          <t>0004665</t>
        </is>
      </c>
      <c r="B232" s="5" t="inlineStr">
        <is>
          <t>[0004665] VESICARE 5MG 30TAB</t>
        </is>
      </c>
      <c r="C232" s="5" t="inlineStr">
        <is>
          <t>دواء</t>
        </is>
      </c>
      <c r="D232" s="13" t="inlineStr">
        <is>
          <t>01062850940002641721</t>
        </is>
      </c>
      <c r="E232" s="14">
        <f>L232-K232</f>
        <v/>
      </c>
      <c r="F232" s="14" t="n">
        <v>0</v>
      </c>
      <c r="G232" s="14">
        <f>F232-E232</f>
        <v/>
      </c>
      <c r="H232" s="7" t="n">
        <v>135.85</v>
      </c>
      <c r="I232" s="7">
        <f>G232*H232</f>
        <v/>
      </c>
      <c r="J232" s="16" t="inlineStr">
        <is>
          <t>لم يُجرد</t>
        </is>
      </c>
      <c r="K232" s="14" t="n">
        <v>0</v>
      </c>
      <c r="L232" s="14" t="n">
        <v>3</v>
      </c>
      <c r="M232" s="5" t="inlineStr"/>
      <c r="N232" s="5" t="inlineStr"/>
    </row>
    <row r="233">
      <c r="A233" s="13" t="inlineStr">
        <is>
          <t>00024315</t>
        </is>
      </c>
      <c r="B233" s="5" t="inlineStr">
        <is>
          <t>[00024315] APLEFIT PLUS  60CAP ECKHART</t>
        </is>
      </c>
      <c r="C233" s="5" t="inlineStr">
        <is>
          <t>دواء</t>
        </is>
      </c>
      <c r="D233" s="13" t="inlineStr">
        <is>
          <t>714654879771</t>
        </is>
      </c>
      <c r="E233" s="14">
        <f>L233-K233</f>
        <v/>
      </c>
      <c r="F233" s="14" t="n">
        <v>0</v>
      </c>
      <c r="G233" s="14">
        <f>F233-E233</f>
        <v/>
      </c>
      <c r="H233" s="7" t="n">
        <v>295</v>
      </c>
      <c r="I233" s="7">
        <f>G233*H233</f>
        <v/>
      </c>
      <c r="J233" s="16" t="inlineStr">
        <is>
          <t>لم يُجرد</t>
        </is>
      </c>
      <c r="K233" s="14" t="n">
        <v>0</v>
      </c>
      <c r="L233" s="14" t="n">
        <v>2</v>
      </c>
      <c r="M233" s="5" t="inlineStr"/>
      <c r="N233" s="5" t="inlineStr"/>
    </row>
    <row r="234">
      <c r="A234" s="13" t="inlineStr">
        <is>
          <t>0005504</t>
        </is>
      </c>
      <c r="B234" s="5" t="inlineStr">
        <is>
          <t>[0005504] NEXIUM 20MG 28TAB</t>
        </is>
      </c>
      <c r="C234" s="5" t="inlineStr">
        <is>
          <t>دواء</t>
        </is>
      </c>
      <c r="D234" s="13" t="inlineStr"/>
      <c r="E234" s="14">
        <f>L234-K234</f>
        <v/>
      </c>
      <c r="F234" s="14" t="n">
        <v>0</v>
      </c>
      <c r="G234" s="14">
        <f>F234-E234</f>
        <v/>
      </c>
      <c r="H234" s="7" t="n">
        <v>68.7</v>
      </c>
      <c r="I234" s="7">
        <f>G234*H234</f>
        <v/>
      </c>
      <c r="J234" s="16" t="inlineStr">
        <is>
          <t>لم يُجرد</t>
        </is>
      </c>
      <c r="K234" s="14" t="n">
        <v>0</v>
      </c>
      <c r="L234" s="14" t="n">
        <v>6.75</v>
      </c>
      <c r="M234" s="5" t="inlineStr"/>
      <c r="N234" s="5" t="inlineStr"/>
    </row>
    <row r="235">
      <c r="A235" s="13" t="inlineStr">
        <is>
          <t>00045835</t>
        </is>
      </c>
      <c r="B235" s="5" t="inlineStr">
        <is>
          <t>[00045835] MONZEVA 10MG 30TAB SPC</t>
        </is>
      </c>
      <c r="C235" s="5" t="inlineStr">
        <is>
          <t>دواء</t>
        </is>
      </c>
      <c r="D235" s="13" t="inlineStr">
        <is>
          <t>06286023001383</t>
        </is>
      </c>
      <c r="E235" s="14">
        <f>L235-K235</f>
        <v/>
      </c>
      <c r="F235" s="14" t="n">
        <v>0</v>
      </c>
      <c r="G235" s="14">
        <f>F235-E235</f>
        <v/>
      </c>
      <c r="H235" s="7" t="n">
        <v>135.15</v>
      </c>
      <c r="I235" s="7">
        <f>G235*H235</f>
        <v/>
      </c>
      <c r="J235" s="16" t="inlineStr">
        <is>
          <t>لم يُجرد</t>
        </is>
      </c>
      <c r="K235" s="14" t="n">
        <v>0</v>
      </c>
      <c r="L235" s="14" t="n">
        <v>3</v>
      </c>
      <c r="M235" s="5" t="inlineStr"/>
      <c r="N235" s="5" t="inlineStr"/>
    </row>
    <row r="236">
      <c r="A236" s="13" t="inlineStr">
        <is>
          <t>0003735</t>
        </is>
      </c>
      <c r="B236" s="5" t="inlineStr">
        <is>
          <t>[0003735] GASEC 40 MG 28 CAPS</t>
        </is>
      </c>
      <c r="C236" s="5" t="inlineStr">
        <is>
          <t>دواء</t>
        </is>
      </c>
      <c r="D236" s="13" t="inlineStr">
        <is>
          <t>06286001000513</t>
        </is>
      </c>
      <c r="E236" s="14">
        <f>L236-K236</f>
        <v/>
      </c>
      <c r="F236" s="14" t="n">
        <v>0</v>
      </c>
      <c r="G236" s="14">
        <f>F236-E236</f>
        <v/>
      </c>
      <c r="H236" s="7" t="n">
        <v>120.3</v>
      </c>
      <c r="I236" s="7">
        <f>G236*H236</f>
        <v/>
      </c>
      <c r="J236" s="16" t="inlineStr">
        <is>
          <t>لم يُجرد</t>
        </is>
      </c>
      <c r="K236" s="14" t="n">
        <v>0</v>
      </c>
      <c r="L236" s="14" t="n">
        <v>4</v>
      </c>
      <c r="M236" s="5" t="inlineStr"/>
      <c r="N236" s="5" t="inlineStr"/>
    </row>
    <row r="237">
      <c r="A237" s="13" t="inlineStr">
        <is>
          <t>0005671</t>
        </is>
      </c>
      <c r="B237" s="5" t="inlineStr">
        <is>
          <t>[0005671] MEGAMOX 156 MG SUSP 100 ML</t>
        </is>
      </c>
      <c r="C237" s="5" t="inlineStr">
        <is>
          <t>دواء</t>
        </is>
      </c>
      <c r="D237" s="13" t="inlineStr">
        <is>
          <t>06285101000225</t>
        </is>
      </c>
      <c r="E237" s="14">
        <f>L237-K237</f>
        <v/>
      </c>
      <c r="F237" s="14" t="n">
        <v>0</v>
      </c>
      <c r="G237" s="14">
        <f>F237-E237</f>
        <v/>
      </c>
      <c r="H237" s="7" t="n">
        <v>15.6</v>
      </c>
      <c r="I237" s="7">
        <f>G237*H237</f>
        <v/>
      </c>
      <c r="J237" s="16" t="inlineStr">
        <is>
          <t>لم يُجرد</t>
        </is>
      </c>
      <c r="K237" s="14" t="n">
        <v>0</v>
      </c>
      <c r="L237" s="14" t="n">
        <v>27</v>
      </c>
      <c r="M237" s="5" t="inlineStr"/>
      <c r="N237" s="5" t="inlineStr"/>
    </row>
    <row r="238">
      <c r="A238" s="13" t="inlineStr">
        <is>
          <t>00013822</t>
        </is>
      </c>
      <c r="B238" s="5" t="inlineStr">
        <is>
          <t>[00013822] IVARIN 40MG TAB</t>
        </is>
      </c>
      <c r="C238" s="5" t="inlineStr">
        <is>
          <t>دواء</t>
        </is>
      </c>
      <c r="D238" s="13" t="inlineStr">
        <is>
          <t>06285147001811</t>
        </is>
      </c>
      <c r="E238" s="14">
        <f>L238-K238</f>
        <v/>
      </c>
      <c r="F238" s="14" t="n">
        <v>0</v>
      </c>
      <c r="G238" s="14">
        <f>F238-E238</f>
        <v/>
      </c>
      <c r="H238" s="7" t="n">
        <v>210.4</v>
      </c>
      <c r="I238" s="7">
        <f>G238*H238</f>
        <v/>
      </c>
      <c r="J238" s="16" t="inlineStr">
        <is>
          <t>لم يُجرد</t>
        </is>
      </c>
      <c r="K238" s="14" t="n">
        <v>0</v>
      </c>
      <c r="L238" s="14" t="n">
        <v>2</v>
      </c>
      <c r="M238" s="5" t="inlineStr"/>
      <c r="N238" s="5" t="inlineStr"/>
    </row>
    <row r="239">
      <c r="A239" s="13" t="inlineStr">
        <is>
          <t>0003328</t>
        </is>
      </c>
      <c r="B239" s="5" t="inlineStr">
        <is>
          <t>[0003328] LAMIFEN CREAM 15 GM WASFA</t>
        </is>
      </c>
      <c r="C239" s="5" t="inlineStr">
        <is>
          <t>دواء</t>
        </is>
      </c>
      <c r="D239" s="13" t="inlineStr">
        <is>
          <t>06285128000529</t>
        </is>
      </c>
      <c r="E239" s="14">
        <f>L239-K239</f>
        <v/>
      </c>
      <c r="F239" s="14" t="n">
        <v>0</v>
      </c>
      <c r="G239" s="14">
        <f>F239-E239</f>
        <v/>
      </c>
      <c r="H239" s="7" t="n">
        <v>19.5</v>
      </c>
      <c r="I239" s="7">
        <f>G239*H239</f>
        <v/>
      </c>
      <c r="J239" s="16" t="inlineStr">
        <is>
          <t>لم يُجرد</t>
        </is>
      </c>
      <c r="K239" s="14" t="n">
        <v>0</v>
      </c>
      <c r="L239" s="14" t="n">
        <v>31</v>
      </c>
      <c r="M239" s="5" t="inlineStr"/>
      <c r="N239" s="5" t="inlineStr"/>
    </row>
    <row r="240">
      <c r="A240" s="13" t="inlineStr">
        <is>
          <t>0004705</t>
        </is>
      </c>
      <c r="B240" s="5" t="inlineStr">
        <is>
          <t>[0004705] TRAJENTA 5MG 30TAB****</t>
        </is>
      </c>
      <c r="C240" s="5" t="inlineStr">
        <is>
          <t>دواء</t>
        </is>
      </c>
      <c r="D240" s="13" t="inlineStr"/>
      <c r="E240" s="14">
        <f>L240-K240</f>
        <v/>
      </c>
      <c r="F240" s="14" t="n">
        <v>0</v>
      </c>
      <c r="G240" s="14">
        <f>F240-E240</f>
        <v/>
      </c>
      <c r="H240" s="7" t="n">
        <v>99.8</v>
      </c>
      <c r="I240" s="7">
        <f>G240*H240</f>
        <v/>
      </c>
      <c r="J240" s="16" t="inlineStr">
        <is>
          <t>لم يُجرد</t>
        </is>
      </c>
      <c r="K240" s="14" t="n">
        <v>0</v>
      </c>
      <c r="L240" s="14" t="n">
        <v>4</v>
      </c>
      <c r="M240" s="5" t="inlineStr"/>
      <c r="N240" s="5" t="inlineStr"/>
    </row>
    <row r="241">
      <c r="A241" s="13" t="inlineStr">
        <is>
          <t>0003712</t>
        </is>
      </c>
      <c r="B241" s="5" t="inlineStr">
        <is>
          <t>[0003712] GALVUS MET 50/850MG 60TAB TMR</t>
        </is>
      </c>
      <c r="C241" s="5" t="inlineStr">
        <is>
          <t>دواء</t>
        </is>
      </c>
      <c r="D241" s="13" t="inlineStr"/>
      <c r="E241" s="14">
        <f>L241-K241</f>
        <v/>
      </c>
      <c r="F241" s="14" t="n">
        <v>0</v>
      </c>
      <c r="G241" s="14">
        <f>F241-E241</f>
        <v/>
      </c>
      <c r="H241" s="7" t="n">
        <v>100.4</v>
      </c>
      <c r="I241" s="7">
        <f>G241*H241</f>
        <v/>
      </c>
      <c r="J241" s="16" t="inlineStr">
        <is>
          <t>لم يُجرد</t>
        </is>
      </c>
      <c r="K241" s="14" t="n">
        <v>0</v>
      </c>
      <c r="L241" s="14" t="n">
        <v>4</v>
      </c>
      <c r="M241" s="5" t="inlineStr"/>
      <c r="N241" s="5" t="inlineStr"/>
    </row>
    <row r="242">
      <c r="A242" s="13" t="inlineStr">
        <is>
          <t>0003765</t>
        </is>
      </c>
      <c r="B242" s="5" t="inlineStr">
        <is>
          <t>[0003765] APISAL NASAL SPRAY 15ML</t>
        </is>
      </c>
      <c r="C242" s="5" t="inlineStr">
        <is>
          <t>دواء</t>
        </is>
      </c>
      <c r="D242" s="13" t="inlineStr">
        <is>
          <t>6251151000829</t>
        </is>
      </c>
      <c r="E242" s="14">
        <f>L242-K242</f>
        <v/>
      </c>
      <c r="F242" s="14" t="n">
        <v>0</v>
      </c>
      <c r="G242" s="14">
        <f>F242-E242</f>
        <v/>
      </c>
      <c r="H242" s="7" t="n">
        <v>21.9</v>
      </c>
      <c r="I242" s="7">
        <f>G242*H242</f>
        <v/>
      </c>
      <c r="J242" s="16" t="inlineStr">
        <is>
          <t>لم يُجرد</t>
        </is>
      </c>
      <c r="K242" s="14" t="n">
        <v>0</v>
      </c>
      <c r="L242" s="14" t="n">
        <v>19</v>
      </c>
      <c r="M242" s="5" t="inlineStr"/>
      <c r="N242" s="5" t="inlineStr"/>
    </row>
    <row r="243">
      <c r="A243" s="13" t="inlineStr">
        <is>
          <t>0004002</t>
        </is>
      </c>
      <c r="B243" s="5" t="inlineStr">
        <is>
          <t>[0004002] DOMPY 10MG 30 TAB WASFA</t>
        </is>
      </c>
      <c r="C243" s="5" t="inlineStr">
        <is>
          <t>دواء</t>
        </is>
      </c>
      <c r="D243" s="13" t="inlineStr">
        <is>
          <t>010628512800030710uh</t>
        </is>
      </c>
      <c r="E243" s="14">
        <f>L243-K243</f>
        <v/>
      </c>
      <c r="F243" s="14" t="n">
        <v>0</v>
      </c>
      <c r="G243" s="14">
        <f>F243-E243</f>
        <v/>
      </c>
      <c r="H243" s="7" t="n">
        <v>16.25</v>
      </c>
      <c r="I243" s="7">
        <f>G243*H243</f>
        <v/>
      </c>
      <c r="J243" s="16" t="inlineStr">
        <is>
          <t>لم يُجرد</t>
        </is>
      </c>
      <c r="K243" s="14" t="n">
        <v>0</v>
      </c>
      <c r="L243" s="14" t="n">
        <v>39</v>
      </c>
      <c r="M243" s="5" t="inlineStr"/>
      <c r="N243" s="5" t="inlineStr"/>
    </row>
    <row r="244">
      <c r="A244" s="13" t="inlineStr">
        <is>
          <t>00017546</t>
        </is>
      </c>
      <c r="B244" s="5" t="inlineStr">
        <is>
          <t>[00017546] SUMO 30 GM OINT WASFA</t>
        </is>
      </c>
      <c r="C244" s="5" t="inlineStr">
        <is>
          <t>دواء</t>
        </is>
      </c>
      <c r="D244" s="13" t="inlineStr">
        <is>
          <t>06285128012584</t>
        </is>
      </c>
      <c r="E244" s="14">
        <f>L244-K244</f>
        <v/>
      </c>
      <c r="F244" s="14" t="n">
        <v>0</v>
      </c>
      <c r="G244" s="14">
        <f>F244-E244</f>
        <v/>
      </c>
      <c r="H244" s="7" t="n">
        <v>69</v>
      </c>
      <c r="I244" s="7">
        <f>G244*H244</f>
        <v/>
      </c>
      <c r="J244" s="16" t="inlineStr">
        <is>
          <t>لم يُجرد</t>
        </is>
      </c>
      <c r="K244" s="14" t="n">
        <v>0</v>
      </c>
      <c r="L244" s="14" t="n">
        <v>13</v>
      </c>
      <c r="M244" s="5" t="inlineStr"/>
      <c r="N244" s="5" t="inlineStr"/>
    </row>
    <row r="245">
      <c r="A245" s="13" t="inlineStr">
        <is>
          <t>0005601</t>
        </is>
      </c>
      <c r="B245" s="5" t="inlineStr">
        <is>
          <t>[0005601] MIRAGEL 2% 40GM ORAL GEL WASFA</t>
        </is>
      </c>
      <c r="C245" s="5" t="inlineStr">
        <is>
          <t>دواء</t>
        </is>
      </c>
      <c r="D245" s="13" t="inlineStr">
        <is>
          <t>06285128000628</t>
        </is>
      </c>
      <c r="E245" s="14">
        <f>L245-K245</f>
        <v/>
      </c>
      <c r="F245" s="14" t="n">
        <v>0</v>
      </c>
      <c r="G245" s="14">
        <f>F245-E245</f>
        <v/>
      </c>
      <c r="H245" s="7" t="n">
        <v>14.85</v>
      </c>
      <c r="I245" s="7">
        <f>G245*H245</f>
        <v/>
      </c>
      <c r="J245" s="16" t="inlineStr">
        <is>
          <t>لم يُجرد</t>
        </is>
      </c>
      <c r="K245" s="14" t="n">
        <v>0</v>
      </c>
      <c r="L245" s="14" t="n">
        <v>35</v>
      </c>
      <c r="M245" s="5" t="inlineStr"/>
      <c r="N245" s="5" t="inlineStr"/>
    </row>
    <row r="246">
      <c r="A246" s="13" t="inlineStr">
        <is>
          <t>0005377</t>
        </is>
      </c>
      <c r="B246" s="5" t="inlineStr">
        <is>
          <t>[0005377] AZI-ONCE SUSPENSION 30ML</t>
        </is>
      </c>
      <c r="C246" s="5" t="inlineStr">
        <is>
          <t>دواء</t>
        </is>
      </c>
      <c r="D246" s="13" t="inlineStr">
        <is>
          <t>06285128000208</t>
        </is>
      </c>
      <c r="E246" s="14">
        <f>L246-K246</f>
        <v/>
      </c>
      <c r="F246" s="14" t="n">
        <v>0</v>
      </c>
      <c r="G246" s="14">
        <f>F246-E246</f>
        <v/>
      </c>
      <c r="H246" s="7" t="n">
        <v>43.6</v>
      </c>
      <c r="I246" s="7">
        <f>G246*H246</f>
        <v/>
      </c>
      <c r="J246" s="16" t="inlineStr">
        <is>
          <t>لم يُجرد</t>
        </is>
      </c>
      <c r="K246" s="14" t="n">
        <v>0</v>
      </c>
      <c r="L246" s="14" t="n">
        <v>10</v>
      </c>
      <c r="M246" s="5" t="inlineStr"/>
      <c r="N246" s="5" t="inlineStr"/>
    </row>
    <row r="247">
      <c r="A247" s="13" t="inlineStr">
        <is>
          <t>00017043</t>
        </is>
      </c>
      <c r="B247" s="5" t="inlineStr">
        <is>
          <t>[00017043] BEPANTHEN NAPPY CARE BABY 100GM OINT</t>
        </is>
      </c>
      <c r="C247" s="5" t="inlineStr">
        <is>
          <t>دواء</t>
        </is>
      </c>
      <c r="D247" s="13" t="inlineStr">
        <is>
          <t>4057599005264</t>
        </is>
      </c>
      <c r="E247" s="14">
        <f>L247-K247</f>
        <v/>
      </c>
      <c r="F247" s="14" t="n">
        <v>0</v>
      </c>
      <c r="G247" s="14">
        <f>F247-E247</f>
        <v/>
      </c>
      <c r="H247" s="7" t="n">
        <v>47.7</v>
      </c>
      <c r="I247" s="7">
        <f>G247*H247</f>
        <v/>
      </c>
      <c r="J247" s="16" t="inlineStr">
        <is>
          <t>لم يُجرد</t>
        </is>
      </c>
      <c r="K247" s="14" t="n">
        <v>0</v>
      </c>
      <c r="L247" s="14" t="n">
        <v>8</v>
      </c>
      <c r="M247" s="5" t="inlineStr"/>
      <c r="N247" s="5" t="inlineStr"/>
    </row>
    <row r="248">
      <c r="A248" s="13" t="inlineStr">
        <is>
          <t>00024845</t>
        </is>
      </c>
      <c r="B248" s="5" t="inlineStr">
        <is>
          <t>[00024845] APISAL DEAD SEA HYPER TONC 125 ML</t>
        </is>
      </c>
      <c r="C248" s="5" t="inlineStr">
        <is>
          <t>دواء</t>
        </is>
      </c>
      <c r="D248" s="13" t="inlineStr">
        <is>
          <t>6251151001710</t>
        </is>
      </c>
      <c r="E248" s="14">
        <f>L248-K248</f>
        <v/>
      </c>
      <c r="F248" s="14" t="n">
        <v>0</v>
      </c>
      <c r="G248" s="14">
        <f>F248-E248</f>
        <v/>
      </c>
      <c r="H248" s="7" t="n">
        <v>65</v>
      </c>
      <c r="I248" s="7">
        <f>G248*H248</f>
        <v/>
      </c>
      <c r="J248" s="16" t="inlineStr">
        <is>
          <t>لم يُجرد</t>
        </is>
      </c>
      <c r="K248" s="14" t="n">
        <v>0</v>
      </c>
      <c r="L248" s="14" t="n">
        <v>6</v>
      </c>
      <c r="M248" s="5" t="inlineStr"/>
      <c r="N248" s="5" t="inlineStr"/>
    </row>
    <row r="249">
      <c r="A249" s="13" t="inlineStr">
        <is>
          <t>0005194</t>
        </is>
      </c>
      <c r="B249" s="5" t="inlineStr">
        <is>
          <t>[0005194] REMOX 250MG 100ML SUSP</t>
        </is>
      </c>
      <c r="C249" s="5" t="inlineStr">
        <is>
          <t>دواء</t>
        </is>
      </c>
      <c r="D249" s="13" t="inlineStr">
        <is>
          <t>06285101000126</t>
        </is>
      </c>
      <c r="E249" s="14">
        <f>L249-K249</f>
        <v/>
      </c>
      <c r="F249" s="14" t="n">
        <v>0</v>
      </c>
      <c r="G249" s="14">
        <f>F249-E249</f>
        <v/>
      </c>
      <c r="H249" s="7" t="n">
        <v>27.05</v>
      </c>
      <c r="I249" s="7">
        <f>G249*H249</f>
        <v/>
      </c>
      <c r="J249" s="16" t="inlineStr">
        <is>
          <t>لم يُجرد</t>
        </is>
      </c>
      <c r="K249" s="14" t="n">
        <v>0</v>
      </c>
      <c r="L249" s="14" t="n">
        <v>15</v>
      </c>
      <c r="M249" s="5" t="inlineStr"/>
      <c r="N249" s="5" t="inlineStr"/>
    </row>
    <row r="250">
      <c r="A250" s="13" t="inlineStr">
        <is>
          <t>0005720</t>
        </is>
      </c>
      <c r="B250" s="5" t="inlineStr">
        <is>
          <t>[0005720] AVALON PRILA 5% CREAM 5G</t>
        </is>
      </c>
      <c r="C250" s="5" t="inlineStr">
        <is>
          <t>دواء</t>
        </is>
      </c>
      <c r="D250" s="13" t="inlineStr">
        <is>
          <t>06285095004681</t>
        </is>
      </c>
      <c r="E250" s="14">
        <f>L250-K250</f>
        <v/>
      </c>
      <c r="F250" s="14" t="n">
        <v>0</v>
      </c>
      <c r="G250" s="14">
        <f>F250-E250</f>
        <v/>
      </c>
      <c r="H250" s="7" t="n">
        <v>55</v>
      </c>
      <c r="I250" s="7">
        <f>G250*H250</f>
        <v/>
      </c>
      <c r="J250" s="16" t="inlineStr">
        <is>
          <t>لم يُجرد</t>
        </is>
      </c>
      <c r="K250" s="14" t="n">
        <v>0</v>
      </c>
      <c r="L250" s="14" t="n">
        <v>17.35</v>
      </c>
      <c r="M250" s="5" t="inlineStr"/>
      <c r="N250" s="5" t="inlineStr"/>
    </row>
    <row r="251">
      <c r="A251" s="13" t="inlineStr">
        <is>
          <t>0005575</t>
        </is>
      </c>
      <c r="B251" s="5" t="inlineStr">
        <is>
          <t>[0005575] AVALON VARA SOLUTION 50 ML</t>
        </is>
      </c>
      <c r="C251" s="5" t="inlineStr">
        <is>
          <t>دواء</t>
        </is>
      </c>
      <c r="D251" s="13" t="inlineStr">
        <is>
          <t>06285095004438</t>
        </is>
      </c>
      <c r="E251" s="14">
        <f>L251-K251</f>
        <v/>
      </c>
      <c r="F251" s="14" t="n">
        <v>0</v>
      </c>
      <c r="G251" s="14">
        <f>F251-E251</f>
        <v/>
      </c>
      <c r="H251" s="7" t="n">
        <v>50</v>
      </c>
      <c r="I251" s="7">
        <f>G251*H251</f>
        <v/>
      </c>
      <c r="J251" s="16" t="inlineStr">
        <is>
          <t>لم يُجرد</t>
        </is>
      </c>
      <c r="K251" s="14" t="n">
        <v>0</v>
      </c>
      <c r="L251" s="14" t="n">
        <v>15</v>
      </c>
      <c r="M251" s="5" t="inlineStr"/>
      <c r="N251" s="5" t="inlineStr"/>
    </row>
    <row r="252">
      <c r="A252" s="13" t="inlineStr">
        <is>
          <t>00035923</t>
        </is>
      </c>
      <c r="B252" s="5" t="inlineStr">
        <is>
          <t>[00035923] VICHY636LIFTACTIV RETINOL A+ SERUM 30 ML</t>
        </is>
      </c>
      <c r="C252" s="5" t="inlineStr">
        <is>
          <t>دواء</t>
        </is>
      </c>
      <c r="D252" s="13" t="inlineStr">
        <is>
          <t>3337875821636</t>
        </is>
      </c>
      <c r="E252" s="14">
        <f>L252-K252</f>
        <v/>
      </c>
      <c r="F252" s="14" t="n">
        <v>0</v>
      </c>
      <c r="G252" s="14">
        <f>F252-E252</f>
        <v/>
      </c>
      <c r="H252" s="7" t="n">
        <v>193</v>
      </c>
      <c r="I252" s="7">
        <f>G252*H252</f>
        <v/>
      </c>
      <c r="J252" s="16" t="inlineStr">
        <is>
          <t>لم يُجرد</t>
        </is>
      </c>
      <c r="K252" s="14" t="n">
        <v>0</v>
      </c>
      <c r="L252" s="14" t="n">
        <v>2</v>
      </c>
      <c r="M252" s="5" t="inlineStr"/>
      <c r="N252" s="5" t="inlineStr"/>
    </row>
    <row r="253">
      <c r="A253" s="13" t="inlineStr">
        <is>
          <t>0005320</t>
        </is>
      </c>
      <c r="B253" s="5" t="inlineStr">
        <is>
          <t>[0005320] PANADOL COLD &amp; FLU  TAB-106</t>
        </is>
      </c>
      <c r="C253" s="5" t="inlineStr">
        <is>
          <t>دواء</t>
        </is>
      </c>
      <c r="D253" s="13" t="inlineStr"/>
      <c r="E253" s="14">
        <f>L253-K253</f>
        <v/>
      </c>
      <c r="F253" s="14" t="n">
        <v>0</v>
      </c>
      <c r="G253" s="14">
        <f>F253-E253</f>
        <v/>
      </c>
      <c r="H253" s="7" t="n">
        <v>16.05</v>
      </c>
      <c r="I253" s="7">
        <f>G253*H253</f>
        <v/>
      </c>
      <c r="J253" s="16" t="inlineStr">
        <is>
          <t>لم يُجرد</t>
        </is>
      </c>
      <c r="K253" s="14" t="n">
        <v>0</v>
      </c>
      <c r="L253" s="14" t="n">
        <v>28</v>
      </c>
      <c r="M253" s="5" t="inlineStr"/>
      <c r="N253" s="5" t="inlineStr"/>
    </row>
    <row r="254">
      <c r="A254" s="13" t="inlineStr">
        <is>
          <t>0003851</t>
        </is>
      </c>
      <c r="B254" s="5" t="inlineStr">
        <is>
          <t>[0003851] EXFORGE 5/160MG 28 TAB TMR</t>
        </is>
      </c>
      <c r="C254" s="5" t="inlineStr">
        <is>
          <t>دواء</t>
        </is>
      </c>
      <c r="D254" s="13" t="inlineStr">
        <is>
          <t>07612797583890</t>
        </is>
      </c>
      <c r="E254" s="14">
        <f>L254-K254</f>
        <v/>
      </c>
      <c r="F254" s="14" t="n">
        <v>0</v>
      </c>
      <c r="G254" s="14">
        <f>F254-E254</f>
        <v/>
      </c>
      <c r="H254" s="7" t="n">
        <v>66.90000000000001</v>
      </c>
      <c r="I254" s="7">
        <f>G254*H254</f>
        <v/>
      </c>
      <c r="J254" s="16" t="inlineStr">
        <is>
          <t>لم يُجرد</t>
        </is>
      </c>
      <c r="K254" s="14" t="n">
        <v>0</v>
      </c>
      <c r="L254" s="14" t="n">
        <v>6</v>
      </c>
      <c r="M254" s="5" t="inlineStr"/>
      <c r="N254" s="5" t="inlineStr"/>
    </row>
    <row r="255">
      <c r="A255" s="13" t="inlineStr">
        <is>
          <t>0003091</t>
        </is>
      </c>
      <c r="B255" s="5" t="inlineStr">
        <is>
          <t>[0003091] POSTINOR 2 0.75MG 2TAB</t>
        </is>
      </c>
      <c r="C255" s="5" t="inlineStr">
        <is>
          <t>دواء</t>
        </is>
      </c>
      <c r="D255" s="13" t="inlineStr">
        <is>
          <t>56871245</t>
        </is>
      </c>
      <c r="E255" s="14">
        <f>L255-K255</f>
        <v/>
      </c>
      <c r="F255" s="14" t="n">
        <v>0</v>
      </c>
      <c r="G255" s="14">
        <f>F255-E255</f>
        <v/>
      </c>
      <c r="H255" s="7" t="n">
        <v>38.55</v>
      </c>
      <c r="I255" s="7">
        <f>G255*H255</f>
        <v/>
      </c>
      <c r="J255" s="16" t="inlineStr">
        <is>
          <t>لم يُجرد</t>
        </is>
      </c>
      <c r="K255" s="14" t="n">
        <v>0</v>
      </c>
      <c r="L255" s="14" t="n">
        <v>11</v>
      </c>
      <c r="M255" s="5" t="inlineStr"/>
      <c r="N255" s="5" t="inlineStr"/>
    </row>
    <row r="256">
      <c r="A256" s="13" t="inlineStr">
        <is>
          <t>00034862</t>
        </is>
      </c>
      <c r="B256" s="5" t="inlineStr">
        <is>
          <t>[00034862] XOLAMOL U.D EYE DROPS SOLUTION</t>
        </is>
      </c>
      <c r="C256" s="5" t="inlineStr">
        <is>
          <t>دواء</t>
        </is>
      </c>
      <c r="D256" s="13" t="inlineStr"/>
      <c r="E256" s="14">
        <f>L256-K256</f>
        <v/>
      </c>
      <c r="F256" s="14" t="n">
        <v>0</v>
      </c>
      <c r="G256" s="14">
        <f>F256-E256</f>
        <v/>
      </c>
      <c r="H256" s="7" t="n">
        <v>65.34999999999999</v>
      </c>
      <c r="I256" s="7">
        <f>G256*H256</f>
        <v/>
      </c>
      <c r="J256" s="16" t="inlineStr">
        <is>
          <t>لم يُجرد</t>
        </is>
      </c>
      <c r="K256" s="14" t="n">
        <v>0</v>
      </c>
      <c r="L256" s="14" t="n">
        <v>6</v>
      </c>
      <c r="M256" s="5" t="inlineStr"/>
      <c r="N256" s="5" t="inlineStr"/>
    </row>
    <row r="257">
      <c r="A257" s="13" t="inlineStr">
        <is>
          <t>00045817</t>
        </is>
      </c>
      <c r="B257" s="5" t="inlineStr">
        <is>
          <t>[00045817] CODURO 5MG 28TAB</t>
        </is>
      </c>
      <c r="C257" s="5" t="inlineStr">
        <is>
          <t>دواء</t>
        </is>
      </c>
      <c r="D257" s="13" t="inlineStr"/>
      <c r="E257" s="14">
        <f>L257-K257</f>
        <v/>
      </c>
      <c r="F257" s="14" t="n">
        <v>0</v>
      </c>
      <c r="G257" s="14">
        <f>F257-E257</f>
        <v/>
      </c>
      <c r="H257" s="7" t="n">
        <v>127.05</v>
      </c>
      <c r="I257" s="7">
        <f>G257*H257</f>
        <v/>
      </c>
      <c r="J257" s="16" t="inlineStr">
        <is>
          <t>لم يُجرد</t>
        </is>
      </c>
      <c r="K257" s="14" t="n">
        <v>0</v>
      </c>
      <c r="L257" s="14" t="n">
        <v>3</v>
      </c>
      <c r="M257" s="5" t="inlineStr"/>
      <c r="N257" s="5" t="inlineStr"/>
    </row>
    <row r="258">
      <c r="A258" s="13" t="inlineStr">
        <is>
          <t>0004670</t>
        </is>
      </c>
      <c r="B258" s="5" t="inlineStr">
        <is>
          <t>[0004670] VIAGRA 100MG 4 TAB</t>
        </is>
      </c>
      <c r="C258" s="5" t="inlineStr">
        <is>
          <t>دواء</t>
        </is>
      </c>
      <c r="D258" s="13" t="inlineStr">
        <is>
          <t>00840149652216</t>
        </is>
      </c>
      <c r="E258" s="14">
        <f>L258-K258</f>
        <v/>
      </c>
      <c r="F258" s="14" t="n">
        <v>0</v>
      </c>
      <c r="G258" s="14">
        <f>F258-E258</f>
        <v/>
      </c>
      <c r="H258" s="7" t="n">
        <v>70.09999999999999</v>
      </c>
      <c r="I258" s="7">
        <f>G258*H258</f>
        <v/>
      </c>
      <c r="J258" s="16" t="inlineStr">
        <is>
          <t>لم يُجرد</t>
        </is>
      </c>
      <c r="K258" s="14" t="n">
        <v>0</v>
      </c>
      <c r="L258" s="14" t="n">
        <v>5.5</v>
      </c>
      <c r="M258" s="5" t="inlineStr"/>
      <c r="N258" s="5" t="inlineStr"/>
    </row>
    <row r="259">
      <c r="A259" s="13" t="inlineStr">
        <is>
          <t>0003441</t>
        </is>
      </c>
      <c r="B259" s="5" t="inlineStr">
        <is>
          <t>[0003441] JANUMET 50/1000MG 56TAB</t>
        </is>
      </c>
      <c r="C259" s="5" t="inlineStr">
        <is>
          <t>دواء</t>
        </is>
      </c>
      <c r="D259" s="13" t="inlineStr">
        <is>
          <t>01062851930001101720</t>
        </is>
      </c>
      <c r="E259" s="14">
        <f>L259-K259</f>
        <v/>
      </c>
      <c r="F259" s="14" t="n">
        <v>0</v>
      </c>
      <c r="G259" s="14">
        <f>F259-E259</f>
        <v/>
      </c>
      <c r="H259" s="7" t="n">
        <v>94.7</v>
      </c>
      <c r="I259" s="7">
        <f>G259*H259</f>
        <v/>
      </c>
      <c r="J259" s="16" t="inlineStr">
        <is>
          <t>لم يُجرد</t>
        </is>
      </c>
      <c r="K259" s="14" t="n">
        <v>0</v>
      </c>
      <c r="L259" s="14" t="n">
        <v>4</v>
      </c>
      <c r="M259" s="5" t="inlineStr"/>
      <c r="N259" s="5" t="inlineStr"/>
    </row>
    <row r="260">
      <c r="A260" s="13" t="inlineStr">
        <is>
          <t>0004697</t>
        </is>
      </c>
      <c r="B260" s="5" t="inlineStr">
        <is>
          <t>[0004697] TRIOPAN 100ML SYRUP</t>
        </is>
      </c>
      <c r="C260" s="5" t="inlineStr">
        <is>
          <t>دواء</t>
        </is>
      </c>
      <c r="D260" s="13" t="inlineStr">
        <is>
          <t>06285128001014</t>
        </is>
      </c>
      <c r="E260" s="14">
        <f>L260-K260</f>
        <v/>
      </c>
      <c r="F260" s="14" t="n">
        <v>0</v>
      </c>
      <c r="G260" s="14">
        <f>F260-E260</f>
        <v/>
      </c>
      <c r="H260" s="7" t="n">
        <v>49.75</v>
      </c>
      <c r="I260" s="7">
        <f>G260*H260</f>
        <v/>
      </c>
      <c r="J260" s="16" t="inlineStr">
        <is>
          <t>لم يُجرد</t>
        </is>
      </c>
      <c r="K260" s="14" t="n">
        <v>0</v>
      </c>
      <c r="L260" s="14" t="n">
        <v>27</v>
      </c>
      <c r="M260" s="5" t="inlineStr"/>
      <c r="N260" s="5" t="inlineStr"/>
    </row>
    <row r="261">
      <c r="A261" s="13" t="inlineStr">
        <is>
          <t>0004675</t>
        </is>
      </c>
      <c r="B261" s="5" t="inlineStr">
        <is>
          <t>[0004675] VENTOLIN RES. SOLUTION</t>
        </is>
      </c>
      <c r="C261" s="5" t="inlineStr">
        <is>
          <t>دواء</t>
        </is>
      </c>
      <c r="D261" s="13" t="inlineStr">
        <is>
          <t>06285097002135</t>
        </is>
      </c>
      <c r="E261" s="14">
        <f>L261-K261</f>
        <v/>
      </c>
      <c r="F261" s="14" t="n">
        <v>0</v>
      </c>
      <c r="G261" s="14">
        <f>F261-E261</f>
        <v/>
      </c>
      <c r="H261" s="7" t="n">
        <v>18.65</v>
      </c>
      <c r="I261" s="7">
        <f>G261*H261</f>
        <v/>
      </c>
      <c r="J261" s="16" t="inlineStr">
        <is>
          <t>لم يُجرد</t>
        </is>
      </c>
      <c r="K261" s="14" t="n">
        <v>0</v>
      </c>
      <c r="L261" s="14" t="n">
        <v>21</v>
      </c>
      <c r="M261" s="5" t="inlineStr"/>
      <c r="N261" s="5" t="inlineStr"/>
    </row>
    <row r="262">
      <c r="A262" s="13" t="inlineStr">
        <is>
          <t>00048561</t>
        </is>
      </c>
      <c r="B262" s="5" t="inlineStr">
        <is>
          <t>[00048561] GUMAZING MULTIVITAMIN+OMEGA 3 60 GUM 3964</t>
        </is>
      </c>
      <c r="C262" s="5" t="inlineStr">
        <is>
          <t>دواء</t>
        </is>
      </c>
      <c r="D262" s="13" t="inlineStr">
        <is>
          <t>5060748883964</t>
        </is>
      </c>
      <c r="E262" s="14">
        <f>L262-K262</f>
        <v/>
      </c>
      <c r="F262" s="14" t="n">
        <v>0</v>
      </c>
      <c r="G262" s="14">
        <f>F262-E262</f>
        <v/>
      </c>
      <c r="H262" s="7" t="n">
        <v>155</v>
      </c>
      <c r="I262" s="7">
        <f>G262*H262</f>
        <v/>
      </c>
      <c r="J262" s="16" t="inlineStr">
        <is>
          <t>لم يُجرد</t>
        </is>
      </c>
      <c r="K262" s="14" t="n">
        <v>0</v>
      </c>
      <c r="L262" s="14" t="n">
        <v>7</v>
      </c>
      <c r="M262" s="5" t="inlineStr"/>
      <c r="N262" s="5" t="inlineStr"/>
    </row>
    <row r="263">
      <c r="A263" s="13" t="inlineStr">
        <is>
          <t>00040488</t>
        </is>
      </c>
      <c r="B263" s="5" t="inlineStr">
        <is>
          <t>[00040488] MIRVASO 3 MG GEL</t>
        </is>
      </c>
      <c r="C263" s="5" t="inlineStr">
        <is>
          <t>دواء</t>
        </is>
      </c>
      <c r="D263" s="13" t="inlineStr"/>
      <c r="E263" s="14">
        <f>L263-K263</f>
        <v/>
      </c>
      <c r="F263" s="14" t="n">
        <v>0</v>
      </c>
      <c r="G263" s="14">
        <f>F263-E263</f>
        <v/>
      </c>
      <c r="H263" s="7" t="n">
        <v>186.7</v>
      </c>
      <c r="I263" s="7">
        <f>G263*H263</f>
        <v/>
      </c>
      <c r="J263" s="16" t="inlineStr">
        <is>
          <t>لم يُجرد</t>
        </is>
      </c>
      <c r="K263" s="14" t="n">
        <v>0</v>
      </c>
      <c r="L263" s="14" t="n">
        <v>2</v>
      </c>
      <c r="M263" s="5" t="inlineStr"/>
      <c r="N263" s="5" t="inlineStr"/>
    </row>
    <row r="264">
      <c r="A264" s="13" t="inlineStr">
        <is>
          <t>0003297</t>
        </is>
      </c>
      <c r="B264" s="5" t="inlineStr">
        <is>
          <t>[0003297] CRESTOR 20MG 28TAB</t>
        </is>
      </c>
      <c r="C264" s="5" t="inlineStr">
        <is>
          <t>دواء</t>
        </is>
      </c>
      <c r="D264" s="13" t="inlineStr">
        <is>
          <t>05000456006392</t>
        </is>
      </c>
      <c r="E264" s="14">
        <f>L264-K264</f>
        <v/>
      </c>
      <c r="F264" s="14" t="n">
        <v>0</v>
      </c>
      <c r="G264" s="14">
        <f>F264-E264</f>
        <v/>
      </c>
      <c r="H264" s="7" t="n">
        <v>130.65</v>
      </c>
      <c r="I264" s="7">
        <f>G264*H264</f>
        <v/>
      </c>
      <c r="J264" s="16" t="inlineStr">
        <is>
          <t>لم يُجرد</t>
        </is>
      </c>
      <c r="K264" s="14" t="n">
        <v>0</v>
      </c>
      <c r="L264" s="14" t="n">
        <v>3</v>
      </c>
      <c r="M264" s="5" t="inlineStr"/>
      <c r="N264" s="5" t="inlineStr"/>
    </row>
    <row r="265">
      <c r="A265" s="13" t="inlineStr">
        <is>
          <t>00012911</t>
        </is>
      </c>
      <c r="B265" s="5" t="inlineStr">
        <is>
          <t>[00012911] SEVIKAR 40/5 MG TAB TMR</t>
        </is>
      </c>
      <c r="C265" s="5" t="inlineStr">
        <is>
          <t>دواء</t>
        </is>
      </c>
      <c r="D265" s="13" t="inlineStr">
        <is>
          <t>01062850940003321720</t>
        </is>
      </c>
      <c r="E265" s="14">
        <f>L265-K265</f>
        <v/>
      </c>
      <c r="F265" s="14" t="n">
        <v>0</v>
      </c>
      <c r="G265" s="14">
        <f>F265-E265</f>
        <v/>
      </c>
      <c r="H265" s="7" t="n">
        <v>92.34999999999999</v>
      </c>
      <c r="I265" s="7">
        <f>G265*H265</f>
        <v/>
      </c>
      <c r="J265" s="16" t="inlineStr">
        <is>
          <t>لم يُجرد</t>
        </is>
      </c>
      <c r="K265" s="14" t="n">
        <v>0</v>
      </c>
      <c r="L265" s="14" t="n">
        <v>4</v>
      </c>
      <c r="M265" s="5" t="inlineStr"/>
      <c r="N265" s="5" t="inlineStr"/>
    </row>
    <row r="266">
      <c r="A266" s="13" t="inlineStr">
        <is>
          <t>0004532</t>
        </is>
      </c>
      <c r="B266" s="5" t="inlineStr">
        <is>
          <t>[0004532] ZINOXIMOR 500MG F.C.TABLET WASFA</t>
        </is>
      </c>
      <c r="C266" s="5" t="inlineStr">
        <is>
          <t>دواء</t>
        </is>
      </c>
      <c r="D266" s="13" t="inlineStr">
        <is>
          <t>01062851470059011720</t>
        </is>
      </c>
      <c r="E266" s="14">
        <f>L266-K266</f>
        <v/>
      </c>
      <c r="F266" s="14" t="n">
        <v>0</v>
      </c>
      <c r="G266" s="14">
        <f>F266-E266</f>
        <v/>
      </c>
      <c r="H266" s="7" t="n">
        <v>76.7</v>
      </c>
      <c r="I266" s="7">
        <f>G266*H266</f>
        <v/>
      </c>
      <c r="J266" s="16" t="inlineStr">
        <is>
          <t>لم يُجرد</t>
        </is>
      </c>
      <c r="K266" s="14" t="n">
        <v>0</v>
      </c>
      <c r="L266" s="14" t="n">
        <v>5</v>
      </c>
      <c r="M266" s="5" t="inlineStr"/>
      <c r="N266" s="5" t="inlineStr"/>
    </row>
    <row r="267">
      <c r="A267" s="13" t="inlineStr">
        <is>
          <t>0004316</t>
        </is>
      </c>
      <c r="B267" s="5" t="inlineStr">
        <is>
          <t>[0004316] CEFIX 100MG/ML SUSP 60ML</t>
        </is>
      </c>
      <c r="C267" s="5" t="inlineStr">
        <is>
          <t>دواء</t>
        </is>
      </c>
      <c r="D267" s="13" t="inlineStr">
        <is>
          <t>06251106401640</t>
        </is>
      </c>
      <c r="E267" s="14">
        <f>L267-K267</f>
        <v/>
      </c>
      <c r="F267" s="14" t="n">
        <v>0</v>
      </c>
      <c r="G267" s="14">
        <f>F267-E267</f>
        <v/>
      </c>
      <c r="H267" s="7" t="n">
        <v>34.75</v>
      </c>
      <c r="I267" s="7">
        <f>G267*H267</f>
        <v/>
      </c>
      <c r="J267" s="16" t="inlineStr">
        <is>
          <t>لم يُجرد</t>
        </is>
      </c>
      <c r="K267" s="14" t="n">
        <v>0</v>
      </c>
      <c r="L267" s="14" t="n">
        <v>11</v>
      </c>
      <c r="M267" s="5" t="inlineStr"/>
      <c r="N267" s="5" t="inlineStr"/>
    </row>
    <row r="268">
      <c r="A268" s="13" t="inlineStr">
        <is>
          <t>0003255</t>
        </is>
      </c>
      <c r="B268" s="5" t="inlineStr">
        <is>
          <t>[0003255] CROMA EYE DROP 10ML</t>
        </is>
      </c>
      <c r="C268" s="5" t="inlineStr">
        <is>
          <t>دواء</t>
        </is>
      </c>
      <c r="D268" s="13" t="inlineStr">
        <is>
          <t>06285128000284</t>
        </is>
      </c>
      <c r="E268" s="14">
        <f>L268-K268</f>
        <v/>
      </c>
      <c r="F268" s="14" t="n">
        <v>0</v>
      </c>
      <c r="G268" s="14">
        <f>F268-E268</f>
        <v/>
      </c>
      <c r="H268" s="7" t="n">
        <v>31.65</v>
      </c>
      <c r="I268" s="7">
        <f>G268*H268</f>
        <v/>
      </c>
      <c r="J268" s="16" t="inlineStr">
        <is>
          <t>لم يُجرد</t>
        </is>
      </c>
      <c r="K268" s="14" t="n">
        <v>0</v>
      </c>
      <c r="L268" s="14" t="n">
        <v>12</v>
      </c>
      <c r="M268" s="5" t="inlineStr"/>
      <c r="N268" s="5" t="inlineStr"/>
    </row>
    <row r="269">
      <c r="A269" s="13" t="inlineStr">
        <is>
          <t>00021658</t>
        </is>
      </c>
      <c r="B269" s="5" t="inlineStr">
        <is>
          <t>[00021658] MELATONORM 60MG GUMMY</t>
        </is>
      </c>
      <c r="C269" s="5" t="inlineStr">
        <is>
          <t>دواء</t>
        </is>
      </c>
      <c r="D269" s="13" t="inlineStr">
        <is>
          <t>0748515537313</t>
        </is>
      </c>
      <c r="E269" s="14">
        <f>L269-K269</f>
        <v/>
      </c>
      <c r="F269" s="14" t="n">
        <v>0</v>
      </c>
      <c r="G269" s="14">
        <f>F269-E269</f>
        <v/>
      </c>
      <c r="H269" s="7" t="n">
        <v>120</v>
      </c>
      <c r="I269" s="7">
        <f>G269*H269</f>
        <v/>
      </c>
      <c r="J269" s="16" t="inlineStr">
        <is>
          <t>لم يُجرد</t>
        </is>
      </c>
      <c r="K269" s="14" t="n">
        <v>0</v>
      </c>
      <c r="L269" s="14" t="n">
        <v>6</v>
      </c>
      <c r="M269" s="5" t="inlineStr"/>
      <c r="N269" s="5" t="inlineStr"/>
    </row>
    <row r="270">
      <c r="A270" s="13" t="inlineStr">
        <is>
          <t>00044436</t>
        </is>
      </c>
      <c r="B270" s="5" t="inlineStr">
        <is>
          <t>[00044436] ROLENIUM 250/50MCG 60 DOSES</t>
        </is>
      </c>
      <c r="C270" s="5" t="inlineStr">
        <is>
          <t>دواء</t>
        </is>
      </c>
      <c r="D270" s="13" t="inlineStr"/>
      <c r="E270" s="14">
        <f>L270-K270</f>
        <v/>
      </c>
      <c r="F270" s="14" t="n">
        <v>0</v>
      </c>
      <c r="G270" s="14">
        <f>F270-E270</f>
        <v/>
      </c>
      <c r="H270" s="7" t="n">
        <v>120.85</v>
      </c>
      <c r="I270" s="7">
        <f>G270*H270</f>
        <v/>
      </c>
      <c r="J270" s="16" t="inlineStr">
        <is>
          <t>لم يُجرد</t>
        </is>
      </c>
      <c r="K270" s="14" t="n">
        <v>0</v>
      </c>
      <c r="L270" s="14" t="n">
        <v>3</v>
      </c>
      <c r="M270" s="5" t="inlineStr"/>
      <c r="N270" s="5" t="inlineStr"/>
    </row>
    <row r="271">
      <c r="A271" s="13" t="inlineStr">
        <is>
          <t>00039189</t>
        </is>
      </c>
      <c r="B271" s="5" t="inlineStr">
        <is>
          <t>[00039189] NQ ARGITONE 30TAB 8890</t>
        </is>
      </c>
      <c r="C271" s="5" t="inlineStr">
        <is>
          <t>دواء</t>
        </is>
      </c>
      <c r="D271" s="13" t="inlineStr">
        <is>
          <t>795044248890</t>
        </is>
      </c>
      <c r="E271" s="14">
        <f>L271-K271</f>
        <v/>
      </c>
      <c r="F271" s="14" t="n">
        <v>0</v>
      </c>
      <c r="G271" s="14">
        <f>F271-E271</f>
        <v/>
      </c>
      <c r="H271" s="7" t="n">
        <v>150</v>
      </c>
      <c r="I271" s="7">
        <f>G271*H271</f>
        <v/>
      </c>
      <c r="J271" s="16" t="inlineStr">
        <is>
          <t>لم يُجرد</t>
        </is>
      </c>
      <c r="K271" s="14" t="n">
        <v>0</v>
      </c>
      <c r="L271" s="14" t="n">
        <v>3</v>
      </c>
      <c r="M271" s="5" t="inlineStr"/>
      <c r="N271" s="5" t="inlineStr"/>
    </row>
    <row r="272">
      <c r="A272" s="13" t="inlineStr">
        <is>
          <t>0003787</t>
        </is>
      </c>
      <c r="B272" s="5" t="inlineStr">
        <is>
          <t>[0003787] AMLOPINE 5MG 30CAPS</t>
        </is>
      </c>
      <c r="C272" s="5" t="inlineStr">
        <is>
          <t>دواء</t>
        </is>
      </c>
      <c r="D272" s="13" t="inlineStr">
        <is>
          <t>06281086011997</t>
        </is>
      </c>
      <c r="E272" s="14">
        <f>L272-K272</f>
        <v/>
      </c>
      <c r="F272" s="14" t="n">
        <v>0</v>
      </c>
      <c r="G272" s="14">
        <f>F272-E272</f>
        <v/>
      </c>
      <c r="H272" s="7" t="n">
        <v>53.35</v>
      </c>
      <c r="I272" s="7">
        <f>G272*H272</f>
        <v/>
      </c>
      <c r="J272" s="16" t="inlineStr">
        <is>
          <t>لم يُجرد</t>
        </is>
      </c>
      <c r="K272" s="14" t="n">
        <v>0</v>
      </c>
      <c r="L272" s="14" t="n">
        <v>7</v>
      </c>
      <c r="M272" s="5" t="inlineStr"/>
      <c r="N272" s="5" t="inlineStr"/>
    </row>
    <row r="273">
      <c r="A273" s="13" t="inlineStr">
        <is>
          <t>00014898</t>
        </is>
      </c>
      <c r="B273" s="5" t="inlineStr">
        <is>
          <t>[00014898] ZOLINDA 15 MG TAB</t>
        </is>
      </c>
      <c r="C273" s="5" t="inlineStr">
        <is>
          <t>دواء</t>
        </is>
      </c>
      <c r="D273" s="13" t="inlineStr">
        <is>
          <t>06281086003305</t>
        </is>
      </c>
      <c r="E273" s="14">
        <f>L273-K273</f>
        <v/>
      </c>
      <c r="F273" s="14" t="n">
        <v>0</v>
      </c>
      <c r="G273" s="14">
        <f>F273-E273</f>
        <v/>
      </c>
      <c r="H273" s="7" t="n">
        <v>340.9</v>
      </c>
      <c r="I273" s="7">
        <f>G273*H273</f>
        <v/>
      </c>
      <c r="J273" s="16" t="inlineStr">
        <is>
          <t>لم يُجرد</t>
        </is>
      </c>
      <c r="K273" s="14" t="n">
        <v>0</v>
      </c>
      <c r="L273" s="14" t="n">
        <v>1</v>
      </c>
      <c r="M273" s="5" t="inlineStr"/>
      <c r="N273" s="5" t="inlineStr"/>
    </row>
    <row r="274">
      <c r="A274" s="13" t="inlineStr">
        <is>
          <t>0004224</t>
        </is>
      </c>
      <c r="B274" s="5" t="inlineStr">
        <is>
          <t>[0004224] CIALIS 20MG 4TAB</t>
        </is>
      </c>
      <c r="C274" s="5" t="inlineStr">
        <is>
          <t>دواء</t>
        </is>
      </c>
      <c r="D274" s="13" t="inlineStr">
        <is>
          <t>10986511116090617190</t>
        </is>
      </c>
      <c r="E274" s="14">
        <f>L274-K274</f>
        <v/>
      </c>
      <c r="F274" s="14" t="n">
        <v>0</v>
      </c>
      <c r="G274" s="14">
        <f>F274-E274</f>
        <v/>
      </c>
      <c r="H274" s="7" t="n">
        <v>109.5</v>
      </c>
      <c r="I274" s="7">
        <f>G274*H274</f>
        <v/>
      </c>
      <c r="J274" s="16" t="inlineStr">
        <is>
          <t>لم يُجرد</t>
        </is>
      </c>
      <c r="K274" s="14" t="n">
        <v>0</v>
      </c>
      <c r="L274" s="14" t="n">
        <v>4</v>
      </c>
      <c r="M274" s="5" t="inlineStr"/>
      <c r="N274" s="5" t="inlineStr"/>
    </row>
    <row r="275">
      <c r="A275" s="13" t="inlineStr">
        <is>
          <t>00037936</t>
        </is>
      </c>
      <c r="B275" s="5" t="inlineStr">
        <is>
          <t>[00037936] NQ ARGITONE 150 ML SYP</t>
        </is>
      </c>
      <c r="C275" s="5" t="inlineStr">
        <is>
          <t>دواء</t>
        </is>
      </c>
      <c r="D275" s="13" t="inlineStr">
        <is>
          <t>795044248906</t>
        </is>
      </c>
      <c r="E275" s="14">
        <f>L275-K275</f>
        <v/>
      </c>
      <c r="F275" s="14" t="n">
        <v>0</v>
      </c>
      <c r="G275" s="14">
        <f>F275-E275</f>
        <v/>
      </c>
      <c r="H275" s="7" t="n">
        <v>150</v>
      </c>
      <c r="I275" s="7">
        <f>G275*H275</f>
        <v/>
      </c>
      <c r="J275" s="16" t="inlineStr">
        <is>
          <t>لم يُجرد</t>
        </is>
      </c>
      <c r="K275" s="14" t="n">
        <v>0</v>
      </c>
      <c r="L275" s="14" t="n">
        <v>4</v>
      </c>
      <c r="M275" s="5" t="inlineStr"/>
      <c r="N275" s="5" t="inlineStr"/>
    </row>
    <row r="276">
      <c r="A276" s="13" t="inlineStr">
        <is>
          <t>0003854</t>
        </is>
      </c>
      <c r="B276" s="5" t="inlineStr">
        <is>
          <t>[0003854] EXFORGE HCT 5MG/160/12.5MG TAB TMR</t>
        </is>
      </c>
      <c r="C276" s="5" t="inlineStr">
        <is>
          <t>دواء</t>
        </is>
      </c>
      <c r="D276" s="13" t="inlineStr">
        <is>
          <t>07612797253779</t>
        </is>
      </c>
      <c r="E276" s="14">
        <f>L276-K276</f>
        <v/>
      </c>
      <c r="F276" s="14" t="n">
        <v>0</v>
      </c>
      <c r="G276" s="14">
        <f>F276-E276</f>
        <v/>
      </c>
      <c r="H276" s="7" t="n">
        <v>71</v>
      </c>
      <c r="I276" s="7">
        <f>G276*H276</f>
        <v/>
      </c>
      <c r="J276" s="16" t="inlineStr">
        <is>
          <t>لم يُجرد</t>
        </is>
      </c>
      <c r="K276" s="14" t="n">
        <v>0</v>
      </c>
      <c r="L276" s="14" t="n">
        <v>5</v>
      </c>
      <c r="M276" s="5" t="inlineStr"/>
      <c r="N276" s="5" t="inlineStr"/>
    </row>
    <row r="277">
      <c r="A277" s="13" t="inlineStr">
        <is>
          <t>00027806</t>
        </is>
      </c>
      <c r="B277" s="5" t="inlineStr">
        <is>
          <t>[00027806] ESOPOLE 20MG 28 CAP</t>
        </is>
      </c>
      <c r="C277" s="5" t="inlineStr">
        <is>
          <t>دواء</t>
        </is>
      </c>
      <c r="D277" s="13" t="inlineStr">
        <is>
          <t>8903726293157</t>
        </is>
      </c>
      <c r="E277" s="14">
        <f>L277-K277</f>
        <v/>
      </c>
      <c r="F277" s="14" t="n">
        <v>0</v>
      </c>
      <c r="G277" s="14">
        <f>F277-E277</f>
        <v/>
      </c>
      <c r="H277" s="7" t="n">
        <v>52.55</v>
      </c>
      <c r="I277" s="7">
        <f>G277*H277</f>
        <v/>
      </c>
      <c r="J277" s="16" t="inlineStr">
        <is>
          <t>لم يُجرد</t>
        </is>
      </c>
      <c r="K277" s="14" t="n">
        <v>0</v>
      </c>
      <c r="L277" s="14" t="n">
        <v>7</v>
      </c>
      <c r="M277" s="5" t="inlineStr"/>
      <c r="N277" s="5" t="inlineStr"/>
    </row>
    <row r="278">
      <c r="A278" s="13" t="inlineStr">
        <is>
          <t>00031986</t>
        </is>
      </c>
      <c r="B278" s="5" t="inlineStr">
        <is>
          <t>[00031986] JP MACA 500MG 30CAP</t>
        </is>
      </c>
      <c r="C278" s="5" t="inlineStr">
        <is>
          <t>دواء</t>
        </is>
      </c>
      <c r="D278" s="13" t="inlineStr">
        <is>
          <t>06285128021265</t>
        </is>
      </c>
      <c r="E278" s="14">
        <f>L278-K278</f>
        <v/>
      </c>
      <c r="F278" s="14" t="n">
        <v>0</v>
      </c>
      <c r="G278" s="14">
        <f>F278-E278</f>
        <v/>
      </c>
      <c r="H278" s="7" t="n">
        <v>120</v>
      </c>
      <c r="I278" s="7">
        <f>G278*H278</f>
        <v/>
      </c>
      <c r="J278" s="16" t="inlineStr">
        <is>
          <t>لم يُجرد</t>
        </is>
      </c>
      <c r="K278" s="14" t="n">
        <v>0</v>
      </c>
      <c r="L278" s="14" t="n">
        <v>3</v>
      </c>
      <c r="M278" s="5" t="inlineStr"/>
      <c r="N278" s="5" t="inlineStr"/>
    </row>
    <row r="279">
      <c r="A279" s="13" t="inlineStr">
        <is>
          <t>00045028</t>
        </is>
      </c>
      <c r="B279" s="5" t="inlineStr">
        <is>
          <t>[00045028] MIXTEARS 10ML EYE DROPS</t>
        </is>
      </c>
      <c r="C279" s="5" t="inlineStr">
        <is>
          <t>دواء</t>
        </is>
      </c>
      <c r="D279" s="13" t="inlineStr"/>
      <c r="E279" s="14">
        <f>L279-K279</f>
        <v/>
      </c>
      <c r="F279" s="14" t="n">
        <v>0</v>
      </c>
      <c r="G279" s="14">
        <f>F279-E279</f>
        <v/>
      </c>
      <c r="H279" s="7" t="n">
        <v>120</v>
      </c>
      <c r="I279" s="7">
        <f>G279*H279</f>
        <v/>
      </c>
      <c r="J279" s="16" t="inlineStr">
        <is>
          <t>لم يُجرد</t>
        </is>
      </c>
      <c r="K279" s="14" t="n">
        <v>0</v>
      </c>
      <c r="L279" s="14" t="n">
        <v>3</v>
      </c>
      <c r="M279" s="5" t="inlineStr"/>
      <c r="N279" s="5" t="inlineStr"/>
    </row>
    <row r="280">
      <c r="A280" s="13" t="inlineStr">
        <is>
          <t>00018937</t>
        </is>
      </c>
      <c r="B280" s="5" t="inlineStr">
        <is>
          <t>[00018937] VICKS VAPODROPS 36 BERRY MENTHOL LOG</t>
        </is>
      </c>
      <c r="C280" s="5" t="inlineStr">
        <is>
          <t>دواء</t>
        </is>
      </c>
      <c r="D280" s="13" t="inlineStr">
        <is>
          <t>8001841469782</t>
        </is>
      </c>
      <c r="E280" s="14">
        <f>L280-K280</f>
        <v/>
      </c>
      <c r="F280" s="14" t="n">
        <v>0</v>
      </c>
      <c r="G280" s="14">
        <f>F280-E280</f>
        <v/>
      </c>
      <c r="H280" s="7" t="n">
        <v>39.5</v>
      </c>
      <c r="I280" s="7">
        <f>G280*H280</f>
        <v/>
      </c>
      <c r="J280" s="16" t="inlineStr">
        <is>
          <t>لم يُجرد</t>
        </is>
      </c>
      <c r="K280" s="14" t="n">
        <v>0</v>
      </c>
      <c r="L280" s="14" t="n">
        <v>11.67</v>
      </c>
      <c r="M280" s="5" t="inlineStr"/>
      <c r="N280" s="5" t="inlineStr"/>
    </row>
    <row r="281">
      <c r="A281" s="13" t="inlineStr">
        <is>
          <t>00039300</t>
        </is>
      </c>
      <c r="B281" s="5" t="inlineStr">
        <is>
          <t>[00039300] VIVA GEL BV VAGINAL GEL  40G ZIMMO</t>
        </is>
      </c>
      <c r="C281" s="5" t="inlineStr">
        <is>
          <t>دواء</t>
        </is>
      </c>
      <c r="D281" s="13" t="inlineStr"/>
      <c r="E281" s="14">
        <f>L281-K281</f>
        <v/>
      </c>
      <c r="F281" s="14" t="n">
        <v>0</v>
      </c>
      <c r="G281" s="14">
        <f>F281-E281</f>
        <v/>
      </c>
      <c r="H281" s="7" t="n">
        <v>175</v>
      </c>
      <c r="I281" s="7">
        <f>G281*H281</f>
        <v/>
      </c>
      <c r="J281" s="16" t="inlineStr">
        <is>
          <t>لم يُجرد</t>
        </is>
      </c>
      <c r="K281" s="14" t="n">
        <v>0</v>
      </c>
      <c r="L281" s="14" t="n">
        <v>2</v>
      </c>
      <c r="M281" s="5" t="inlineStr"/>
      <c r="N281" s="5" t="inlineStr"/>
    </row>
    <row r="282">
      <c r="A282" s="13" t="inlineStr">
        <is>
          <t>00037208</t>
        </is>
      </c>
      <c r="B282" s="5" t="inlineStr">
        <is>
          <t>[00037208] AR VITA 100TAB2213</t>
        </is>
      </c>
      <c r="C282" s="5" t="inlineStr">
        <is>
          <t>دواء</t>
        </is>
      </c>
      <c r="D282" s="13" t="inlineStr">
        <is>
          <t>00766961412213</t>
        </is>
      </c>
      <c r="E282" s="14">
        <f>L282-K282</f>
        <v/>
      </c>
      <c r="F282" s="14" t="n">
        <v>0</v>
      </c>
      <c r="G282" s="14">
        <f>F282-E282</f>
        <v/>
      </c>
      <c r="H282" s="7" t="n">
        <v>55</v>
      </c>
      <c r="I282" s="7">
        <f>G282*H282</f>
        <v/>
      </c>
      <c r="J282" s="16" t="inlineStr">
        <is>
          <t>لم يُجرد</t>
        </is>
      </c>
      <c r="K282" s="14" t="n">
        <v>0</v>
      </c>
      <c r="L282" s="14" t="n">
        <v>11</v>
      </c>
      <c r="M282" s="5" t="inlineStr"/>
      <c r="N282" s="5" t="inlineStr"/>
    </row>
    <row r="283">
      <c r="A283" s="13" t="inlineStr">
        <is>
          <t>00019992</t>
        </is>
      </c>
      <c r="B283" s="5" t="inlineStr">
        <is>
          <t>[00019992] ARTELAC NIGHT TIME EYE GEL</t>
        </is>
      </c>
      <c r="C283" s="5" t="inlineStr">
        <is>
          <t>دواء</t>
        </is>
      </c>
      <c r="D283" s="13" t="inlineStr">
        <is>
          <t>4030571008347</t>
        </is>
      </c>
      <c r="E283" s="14">
        <f>L283-K283</f>
        <v/>
      </c>
      <c r="F283" s="14" t="n">
        <v>0</v>
      </c>
      <c r="G283" s="14">
        <f>F283-E283</f>
        <v/>
      </c>
      <c r="H283" s="7" t="n">
        <v>30.1</v>
      </c>
      <c r="I283" s="7">
        <f>G283*H283</f>
        <v/>
      </c>
      <c r="J283" s="16" t="inlineStr">
        <is>
          <t>لم يُجرد</t>
        </is>
      </c>
      <c r="K283" s="14" t="n">
        <v>0</v>
      </c>
      <c r="L283" s="14" t="n">
        <v>12</v>
      </c>
      <c r="M283" s="5" t="inlineStr"/>
      <c r="N283" s="5" t="inlineStr"/>
    </row>
    <row r="284">
      <c r="A284" s="13" t="inlineStr">
        <is>
          <t>00024299</t>
        </is>
      </c>
      <c r="B284" s="5" t="inlineStr">
        <is>
          <t>[00024299] ARTHOR 60 CAP</t>
        </is>
      </c>
      <c r="C284" s="5" t="inlineStr">
        <is>
          <t>دواء</t>
        </is>
      </c>
      <c r="D284" s="13" t="inlineStr">
        <is>
          <t>8410885090133</t>
        </is>
      </c>
      <c r="E284" s="14">
        <f>L284-K284</f>
        <v/>
      </c>
      <c r="F284" s="14" t="n">
        <v>0</v>
      </c>
      <c r="G284" s="14">
        <f>F284-E284</f>
        <v/>
      </c>
      <c r="H284" s="7" t="n">
        <v>150</v>
      </c>
      <c r="I284" s="7">
        <f>G284*H284</f>
        <v/>
      </c>
      <c r="J284" s="16" t="inlineStr">
        <is>
          <t>لم يُجرد</t>
        </is>
      </c>
      <c r="K284" s="14" t="n">
        <v>0</v>
      </c>
      <c r="L284" s="14" t="n">
        <v>2</v>
      </c>
      <c r="M284" s="5" t="inlineStr"/>
      <c r="N284" s="5" t="inlineStr"/>
    </row>
    <row r="285">
      <c r="A285" s="13" t="inlineStr">
        <is>
          <t>00031636</t>
        </is>
      </c>
      <c r="B285" s="5" t="inlineStr">
        <is>
          <t>[00031636] LINTRA 5MG 30TAB WASFA</t>
        </is>
      </c>
      <c r="C285" s="5" t="inlineStr">
        <is>
          <t>دواء</t>
        </is>
      </c>
      <c r="D285" s="13" t="inlineStr"/>
      <c r="E285" s="14">
        <f>L285-K285</f>
        <v/>
      </c>
      <c r="F285" s="14" t="n">
        <v>0</v>
      </c>
      <c r="G285" s="14">
        <f>F285-E285</f>
        <v/>
      </c>
      <c r="H285" s="7" t="n">
        <v>94.8</v>
      </c>
      <c r="I285" s="7">
        <f>G285*H285</f>
        <v/>
      </c>
      <c r="J285" s="16" t="inlineStr">
        <is>
          <t>لم يُجرد</t>
        </is>
      </c>
      <c r="K285" s="14" t="n">
        <v>0</v>
      </c>
      <c r="L285" s="14" t="n">
        <v>5</v>
      </c>
      <c r="M285" s="5" t="inlineStr"/>
      <c r="N285" s="5" t="inlineStr"/>
    </row>
    <row r="286">
      <c r="A286" s="13" t="inlineStr">
        <is>
          <t>00018101</t>
        </is>
      </c>
      <c r="B286" s="5" t="inlineStr">
        <is>
          <t>[00018101] PIXL COLLAGEN 250 ML 149</t>
        </is>
      </c>
      <c r="C286" s="5" t="inlineStr">
        <is>
          <t>دواء</t>
        </is>
      </c>
      <c r="D286" s="13" t="inlineStr">
        <is>
          <t>885190821495</t>
        </is>
      </c>
      <c r="E286" s="14">
        <f>L286-K286</f>
        <v/>
      </c>
      <c r="F286" s="14" t="n">
        <v>0</v>
      </c>
      <c r="G286" s="14">
        <f>F286-E286</f>
        <v/>
      </c>
      <c r="H286" s="7" t="n">
        <v>115</v>
      </c>
      <c r="I286" s="7">
        <f>G286*H286</f>
        <v/>
      </c>
      <c r="J286" s="16" t="inlineStr">
        <is>
          <t>لم يُجرد</t>
        </is>
      </c>
      <c r="K286" s="14" t="n">
        <v>0</v>
      </c>
      <c r="L286" s="14" t="n">
        <v>4</v>
      </c>
      <c r="M286" s="5" t="inlineStr"/>
      <c r="N286" s="5" t="inlineStr"/>
    </row>
    <row r="287">
      <c r="A287" s="13" t="inlineStr">
        <is>
          <t>00025774</t>
        </is>
      </c>
      <c r="B287" s="5" t="inlineStr">
        <is>
          <t>[00025774] MARNYS ROYAL 1650JELLY 5000MG 20VIAL</t>
        </is>
      </c>
      <c r="C287" s="5" t="inlineStr">
        <is>
          <t>دواء</t>
        </is>
      </c>
      <c r="D287" s="13" t="inlineStr">
        <is>
          <t>8410885081650</t>
        </is>
      </c>
      <c r="E287" s="14">
        <f>L287-K287</f>
        <v/>
      </c>
      <c r="F287" s="14" t="n">
        <v>0</v>
      </c>
      <c r="G287" s="14">
        <f>F287-E287</f>
        <v/>
      </c>
      <c r="H287" s="7" t="n">
        <v>280</v>
      </c>
      <c r="I287" s="7">
        <f>G287*H287</f>
        <v/>
      </c>
      <c r="J287" s="16" t="inlineStr">
        <is>
          <t>لم يُجرد</t>
        </is>
      </c>
      <c r="K287" s="14" t="n">
        <v>0</v>
      </c>
      <c r="L287" s="14" t="n">
        <v>2</v>
      </c>
      <c r="M287" s="5" t="inlineStr"/>
      <c r="N287" s="5" t="inlineStr"/>
    </row>
    <row r="288">
      <c r="A288" s="13" t="inlineStr">
        <is>
          <t>0004734</t>
        </is>
      </c>
      <c r="B288" s="5" t="inlineStr">
        <is>
          <t>[0004734] SUPRAX SUSPENSION 100MG 60 ML</t>
        </is>
      </c>
      <c r="C288" s="5" t="inlineStr">
        <is>
          <t>دواء</t>
        </is>
      </c>
      <c r="D288" s="13" t="inlineStr"/>
      <c r="E288" s="14">
        <f>L288-K288</f>
        <v/>
      </c>
      <c r="F288" s="14" t="n">
        <v>0</v>
      </c>
      <c r="G288" s="14">
        <f>F288-E288</f>
        <v/>
      </c>
      <c r="H288" s="7" t="n">
        <v>44.95</v>
      </c>
      <c r="I288" s="7">
        <f>G288*H288</f>
        <v/>
      </c>
      <c r="J288" s="16" t="inlineStr">
        <is>
          <t>لم يُجرد</t>
        </is>
      </c>
      <c r="K288" s="14" t="n">
        <v>0</v>
      </c>
      <c r="L288" s="14" t="n">
        <v>8</v>
      </c>
      <c r="M288" s="5" t="inlineStr"/>
      <c r="N288" s="5" t="inlineStr"/>
    </row>
    <row r="289">
      <c r="A289" s="13" t="inlineStr">
        <is>
          <t>00047323</t>
        </is>
      </c>
      <c r="B289" s="5" t="inlineStr">
        <is>
          <t>[00047323] OMEGORE DRINK PLUS  227 ML 2626</t>
        </is>
      </c>
      <c r="C289" s="5" t="inlineStr">
        <is>
          <t>دواء</t>
        </is>
      </c>
      <c r="D289" s="13" t="inlineStr">
        <is>
          <t>6221009002626</t>
        </is>
      </c>
      <c r="E289" s="14">
        <f>L289-K289</f>
        <v/>
      </c>
      <c r="F289" s="14" t="n">
        <v>0</v>
      </c>
      <c r="G289" s="14">
        <f>F289-E289</f>
        <v/>
      </c>
      <c r="H289" s="7" t="n">
        <v>165</v>
      </c>
      <c r="I289" s="7">
        <f>G289*H289</f>
        <v/>
      </c>
      <c r="J289" s="16" t="inlineStr">
        <is>
          <t>لم يُجرد</t>
        </is>
      </c>
      <c r="K289" s="14" t="n">
        <v>0</v>
      </c>
      <c r="L289" s="14" t="n">
        <v>6</v>
      </c>
      <c r="M289" s="5" t="inlineStr"/>
      <c r="N289" s="5" t="inlineStr"/>
    </row>
    <row r="290">
      <c r="A290" s="13" t="inlineStr">
        <is>
          <t>00026222</t>
        </is>
      </c>
      <c r="B290" s="5" t="inlineStr">
        <is>
          <t>[00026222] BIOCYSTINE  120S TMR1079CHEWABLE TABLETS</t>
        </is>
      </c>
      <c r="C290" s="5" t="inlineStr">
        <is>
          <t>دواء</t>
        </is>
      </c>
      <c r="D290" s="13" t="inlineStr">
        <is>
          <t>0785249791079</t>
        </is>
      </c>
      <c r="E290" s="14">
        <f>L290-K290</f>
        <v/>
      </c>
      <c r="F290" s="14" t="n">
        <v>0</v>
      </c>
      <c r="G290" s="14">
        <f>F290-E290</f>
        <v/>
      </c>
      <c r="H290" s="7" t="n">
        <v>184.32</v>
      </c>
      <c r="I290" s="7">
        <f>G290*H290</f>
        <v/>
      </c>
      <c r="J290" s="16" t="inlineStr">
        <is>
          <t>لم يُجرد</t>
        </is>
      </c>
      <c r="K290" s="14" t="n">
        <v>0</v>
      </c>
      <c r="L290" s="14" t="n">
        <v>2</v>
      </c>
      <c r="M290" s="5" t="inlineStr"/>
      <c r="N290" s="5" t="inlineStr"/>
    </row>
    <row r="291">
      <c r="A291" s="13" t="inlineStr">
        <is>
          <t>00017545</t>
        </is>
      </c>
      <c r="B291" s="5" t="inlineStr">
        <is>
          <t>[00017545] SUMO 15 GM OINT</t>
        </is>
      </c>
      <c r="C291" s="5" t="inlineStr">
        <is>
          <t>دواء</t>
        </is>
      </c>
      <c r="D291" s="13" t="inlineStr">
        <is>
          <t>06285128012560</t>
        </is>
      </c>
      <c r="E291" s="14">
        <f>L291-K291</f>
        <v/>
      </c>
      <c r="F291" s="14" t="n">
        <v>0</v>
      </c>
      <c r="G291" s="14">
        <f>F291-E291</f>
        <v/>
      </c>
      <c r="H291" s="7" t="n">
        <v>33</v>
      </c>
      <c r="I291" s="7">
        <f>G291*H291</f>
        <v/>
      </c>
      <c r="J291" s="16" t="inlineStr">
        <is>
          <t>لم يُجرد</t>
        </is>
      </c>
      <c r="K291" s="14" t="n">
        <v>0</v>
      </c>
      <c r="L291" s="14" t="n">
        <v>13</v>
      </c>
      <c r="M291" s="5" t="inlineStr"/>
      <c r="N291" s="5" t="inlineStr"/>
    </row>
    <row r="292">
      <c r="A292" s="13" t="inlineStr">
        <is>
          <t>00046694</t>
        </is>
      </c>
      <c r="B292" s="5" t="inlineStr">
        <is>
          <t>[00046694] BEPANTHEN CRACKED 100GM SKIN OINT</t>
        </is>
      </c>
      <c r="C292" s="5" t="inlineStr">
        <is>
          <t>دواء</t>
        </is>
      </c>
      <c r="D292" s="13" t="inlineStr">
        <is>
          <t>6285074005715</t>
        </is>
      </c>
      <c r="E292" s="14">
        <f>L292-K292</f>
        <v/>
      </c>
      <c r="F292" s="14" t="n">
        <v>0</v>
      </c>
      <c r="G292" s="14">
        <f>F292-E292</f>
        <v/>
      </c>
      <c r="H292" s="7" t="n">
        <v>69.5</v>
      </c>
      <c r="I292" s="7">
        <f>G292*H292</f>
        <v/>
      </c>
      <c r="J292" s="16" t="inlineStr">
        <is>
          <t>لم يُجرد</t>
        </is>
      </c>
      <c r="K292" s="14" t="n">
        <v>0</v>
      </c>
      <c r="L292" s="14" t="n">
        <v>5</v>
      </c>
      <c r="M292" s="5" t="inlineStr"/>
      <c r="N292" s="5" t="inlineStr"/>
    </row>
    <row r="293">
      <c r="A293" s="13" t="inlineStr">
        <is>
          <t>00032077</t>
        </is>
      </c>
      <c r="B293" s="5" t="inlineStr">
        <is>
          <t>[00032077] LIMITLESS ALLZYME ORIGINAL 20TAB</t>
        </is>
      </c>
      <c r="C293" s="5" t="inlineStr">
        <is>
          <t>دواء</t>
        </is>
      </c>
      <c r="D293" s="13" t="inlineStr">
        <is>
          <t>6223012480835</t>
        </is>
      </c>
      <c r="E293" s="14">
        <f>L293-K293</f>
        <v/>
      </c>
      <c r="F293" s="14" t="n">
        <v>0</v>
      </c>
      <c r="G293" s="14">
        <f>F293-E293</f>
        <v/>
      </c>
      <c r="H293" s="7" t="n">
        <v>32.8</v>
      </c>
      <c r="I293" s="7">
        <f>G293*H293</f>
        <v/>
      </c>
      <c r="J293" s="16" t="inlineStr">
        <is>
          <t>لم يُجرد</t>
        </is>
      </c>
      <c r="K293" s="14" t="n">
        <v>0</v>
      </c>
      <c r="L293" s="14" t="n">
        <v>10</v>
      </c>
      <c r="M293" s="5" t="inlineStr"/>
      <c r="N293" s="5" t="inlineStr"/>
    </row>
    <row r="294">
      <c r="A294" s="13" t="inlineStr">
        <is>
          <t>0004906</t>
        </is>
      </c>
      <c r="B294" s="5" t="inlineStr">
        <is>
          <t>[0004906] SAPOFEN JOUNIOR SUSP 145ML</t>
        </is>
      </c>
      <c r="C294" s="5" t="inlineStr">
        <is>
          <t>دواء</t>
        </is>
      </c>
      <c r="D294" s="13" t="inlineStr"/>
      <c r="E294" s="14">
        <f>L294-K294</f>
        <v/>
      </c>
      <c r="F294" s="14" t="n">
        <v>0</v>
      </c>
      <c r="G294" s="14">
        <f>F294-E294</f>
        <v/>
      </c>
      <c r="H294" s="7" t="n">
        <v>11.75</v>
      </c>
      <c r="I294" s="7">
        <f>G294*H294</f>
        <v/>
      </c>
      <c r="J294" s="16" t="inlineStr">
        <is>
          <t>لم يُجرد</t>
        </is>
      </c>
      <c r="K294" s="14" t="n">
        <v>0</v>
      </c>
      <c r="L294" s="14" t="n">
        <v>33</v>
      </c>
      <c r="M294" s="5" t="inlineStr"/>
      <c r="N294" s="5" t="inlineStr"/>
    </row>
    <row r="295">
      <c r="A295" s="13" t="inlineStr">
        <is>
          <t>00012874</t>
        </is>
      </c>
      <c r="B295" s="5" t="inlineStr">
        <is>
          <t>[00012874] LORINEX SYP</t>
        </is>
      </c>
      <c r="C295" s="5" t="inlineStr">
        <is>
          <t>دواء</t>
        </is>
      </c>
      <c r="D295" s="13" t="inlineStr">
        <is>
          <t>01062851010011091074</t>
        </is>
      </c>
      <c r="E295" s="14">
        <f>L295-K295</f>
        <v/>
      </c>
      <c r="F295" s="14" t="n">
        <v>0</v>
      </c>
      <c r="G295" s="14">
        <f>F295-E295</f>
        <v/>
      </c>
      <c r="H295" s="7" t="n">
        <v>17.65</v>
      </c>
      <c r="I295" s="7">
        <f>G295*H295</f>
        <v/>
      </c>
      <c r="J295" s="16" t="inlineStr">
        <is>
          <t>لم يُجرد</t>
        </is>
      </c>
      <c r="K295" s="14" t="n">
        <v>0</v>
      </c>
      <c r="L295" s="14" t="n">
        <v>20</v>
      </c>
      <c r="M295" s="5" t="inlineStr"/>
      <c r="N295" s="5" t="inlineStr"/>
    </row>
    <row r="296">
      <c r="A296" s="13" t="inlineStr">
        <is>
          <t>0005674</t>
        </is>
      </c>
      <c r="B296" s="5" t="inlineStr">
        <is>
          <t>[0005674] MEGAMOX 312 MG SUSP 100 ML</t>
        </is>
      </c>
      <c r="C296" s="5" t="inlineStr">
        <is>
          <t>دواء</t>
        </is>
      </c>
      <c r="D296" s="13" t="inlineStr">
        <is>
          <t>06285101000232</t>
        </is>
      </c>
      <c r="E296" s="14">
        <f>L296-K296</f>
        <v/>
      </c>
      <c r="F296" s="14" t="n">
        <v>0</v>
      </c>
      <c r="G296" s="14">
        <f>F296-E296</f>
        <v/>
      </c>
      <c r="H296" s="7" t="n">
        <v>29.3</v>
      </c>
      <c r="I296" s="7">
        <f>G296*H296</f>
        <v/>
      </c>
      <c r="J296" s="16" t="inlineStr">
        <is>
          <t>لم يُجرد</t>
        </is>
      </c>
      <c r="K296" s="14" t="n">
        <v>0</v>
      </c>
      <c r="L296" s="14" t="n">
        <v>12</v>
      </c>
      <c r="M296" s="5" t="inlineStr"/>
      <c r="N296" s="5" t="inlineStr"/>
    </row>
    <row r="297">
      <c r="A297" s="13" t="inlineStr">
        <is>
          <t>0005343</t>
        </is>
      </c>
      <c r="B297" s="5" t="inlineStr">
        <is>
          <t>[0005343] OPTIFUCIN VISCUS DROP 5GM</t>
        </is>
      </c>
      <c r="C297" s="5" t="inlineStr">
        <is>
          <t>دواء</t>
        </is>
      </c>
      <c r="D297" s="13" t="inlineStr">
        <is>
          <t>01062511510005221718</t>
        </is>
      </c>
      <c r="E297" s="14">
        <f>L297-K297</f>
        <v/>
      </c>
      <c r="F297" s="14" t="n">
        <v>0</v>
      </c>
      <c r="G297" s="14">
        <f>F297-E297</f>
        <v/>
      </c>
      <c r="H297" s="7" t="n">
        <v>11.25</v>
      </c>
      <c r="I297" s="7">
        <f>G297*H297</f>
        <v/>
      </c>
      <c r="J297" s="16" t="inlineStr">
        <is>
          <t>لم يُجرد</t>
        </is>
      </c>
      <c r="K297" s="14" t="n">
        <v>0</v>
      </c>
      <c r="L297" s="14" t="n">
        <v>31</v>
      </c>
      <c r="M297" s="5" t="inlineStr"/>
      <c r="N297" s="5" t="inlineStr"/>
    </row>
    <row r="298">
      <c r="A298" s="13" t="inlineStr">
        <is>
          <t>00014983</t>
        </is>
      </c>
      <c r="B298" s="5" t="inlineStr">
        <is>
          <t>[00014983] OLENZA OD 15 MG TAB</t>
        </is>
      </c>
      <c r="C298" s="5" t="inlineStr">
        <is>
          <t>دواء</t>
        </is>
      </c>
      <c r="D298" s="13" t="inlineStr"/>
      <c r="E298" s="14">
        <f>L298-K298</f>
        <v/>
      </c>
      <c r="F298" s="14" t="n">
        <v>0</v>
      </c>
      <c r="G298" s="14">
        <f>F298-E298</f>
        <v/>
      </c>
      <c r="H298" s="7" t="n">
        <v>315.8</v>
      </c>
      <c r="I298" s="7">
        <f>G298*H298</f>
        <v/>
      </c>
      <c r="J298" s="16" t="inlineStr">
        <is>
          <t>لم يُجرد</t>
        </is>
      </c>
      <c r="K298" s="14" t="n">
        <v>0</v>
      </c>
      <c r="L298" s="14" t="n">
        <v>1</v>
      </c>
      <c r="M298" s="5" t="inlineStr"/>
      <c r="N298" s="5" t="inlineStr"/>
    </row>
    <row r="299">
      <c r="A299" s="13" t="inlineStr">
        <is>
          <t>00025787</t>
        </is>
      </c>
      <c r="B299" s="5" t="inlineStr">
        <is>
          <t>[00025787] BELONG FOR MEN 125ML SPRAY</t>
        </is>
      </c>
      <c r="C299" s="5" t="inlineStr">
        <is>
          <t>دواء</t>
        </is>
      </c>
      <c r="D299" s="13" t="inlineStr"/>
      <c r="E299" s="14">
        <f>L299-K299</f>
        <v/>
      </c>
      <c r="F299" s="14" t="n">
        <v>0</v>
      </c>
      <c r="G299" s="14">
        <f>F299-E299</f>
        <v/>
      </c>
      <c r="H299" s="7" t="n">
        <v>110</v>
      </c>
      <c r="I299" s="7">
        <f>G299*H299</f>
        <v/>
      </c>
      <c r="J299" s="16" t="inlineStr">
        <is>
          <t>لم يُجرد</t>
        </is>
      </c>
      <c r="K299" s="14" t="n">
        <v>0</v>
      </c>
      <c r="L299" s="14" t="n">
        <v>3</v>
      </c>
      <c r="M299" s="5" t="inlineStr"/>
      <c r="N299" s="5" t="inlineStr"/>
    </row>
    <row r="300">
      <c r="A300" s="13" t="inlineStr">
        <is>
          <t>00028068</t>
        </is>
      </c>
      <c r="B300" s="5" t="inlineStr">
        <is>
          <t>[00028068] URINX FORTE SYP 250ML</t>
        </is>
      </c>
      <c r="C300" s="5" t="inlineStr">
        <is>
          <t>دواء</t>
        </is>
      </c>
      <c r="D300" s="13" t="inlineStr">
        <is>
          <t>7640185010277</t>
        </is>
      </c>
      <c r="E300" s="14">
        <f>L300-K300</f>
        <v/>
      </c>
      <c r="F300" s="14" t="n">
        <v>0</v>
      </c>
      <c r="G300" s="14">
        <f>F300-E300</f>
        <v/>
      </c>
      <c r="H300" s="7" t="n">
        <v>95</v>
      </c>
      <c r="I300" s="7">
        <f>G300*H300</f>
        <v/>
      </c>
      <c r="J300" s="16" t="inlineStr">
        <is>
          <t>لم يُجرد</t>
        </is>
      </c>
      <c r="K300" s="14" t="n">
        <v>0</v>
      </c>
      <c r="L300" s="14" t="n">
        <v>3</v>
      </c>
      <c r="M300" s="5" t="inlineStr"/>
      <c r="N300" s="5" t="inlineStr"/>
    </row>
    <row r="301">
      <c r="A301" s="13" t="inlineStr">
        <is>
          <t>00020633</t>
        </is>
      </c>
      <c r="B301" s="5" t="inlineStr">
        <is>
          <t>[00020633] MEGAMIND F.OIL SYRUP PEACH&amp;MANGO SYP</t>
        </is>
      </c>
      <c r="C301" s="5" t="inlineStr">
        <is>
          <t>دواء</t>
        </is>
      </c>
      <c r="D301" s="13" t="inlineStr">
        <is>
          <t>0037182670028</t>
        </is>
      </c>
      <c r="E301" s="14">
        <f>L301-K301</f>
        <v/>
      </c>
      <c r="F301" s="14" t="n">
        <v>0</v>
      </c>
      <c r="G301" s="14">
        <f>F301-E301</f>
        <v/>
      </c>
      <c r="H301" s="7" t="n">
        <v>165</v>
      </c>
      <c r="I301" s="7">
        <f>G301*H301</f>
        <v/>
      </c>
      <c r="J301" s="16" t="inlineStr">
        <is>
          <t>لم يُجرد</t>
        </is>
      </c>
      <c r="K301" s="14" t="n">
        <v>0</v>
      </c>
      <c r="L301" s="14" t="n">
        <v>4</v>
      </c>
      <c r="M301" s="5" t="inlineStr"/>
      <c r="N301" s="5" t="inlineStr"/>
    </row>
    <row r="302">
      <c r="A302" s="13" t="inlineStr">
        <is>
          <t>00025786</t>
        </is>
      </c>
      <c r="B302" s="5" t="inlineStr">
        <is>
          <t>[00025786] BELONG FOR WOMEN 125ML SPRAY</t>
        </is>
      </c>
      <c r="C302" s="5" t="inlineStr">
        <is>
          <t>دواء</t>
        </is>
      </c>
      <c r="D302" s="13" t="inlineStr"/>
      <c r="E302" s="14">
        <f>L302-K302</f>
        <v/>
      </c>
      <c r="F302" s="14" t="n">
        <v>0</v>
      </c>
      <c r="G302" s="14">
        <f>F302-E302</f>
        <v/>
      </c>
      <c r="H302" s="7" t="n">
        <v>110</v>
      </c>
      <c r="I302" s="7">
        <f>G302*H302</f>
        <v/>
      </c>
      <c r="J302" s="16" t="inlineStr">
        <is>
          <t>لم يُجرد</t>
        </is>
      </c>
      <c r="K302" s="14" t="n">
        <v>0</v>
      </c>
      <c r="L302" s="14" t="n">
        <v>3</v>
      </c>
      <c r="M302" s="5" t="inlineStr"/>
      <c r="N302" s="5" t="inlineStr"/>
    </row>
    <row r="303">
      <c r="A303" s="13" t="inlineStr">
        <is>
          <t>0003995</t>
        </is>
      </c>
      <c r="B303" s="5" t="inlineStr">
        <is>
          <t>[0003995] DIVIDO 75MG 20 CAPS</t>
        </is>
      </c>
      <c r="C303" s="5" t="inlineStr">
        <is>
          <t>دواء</t>
        </is>
      </c>
      <c r="D303" s="13" t="inlineStr">
        <is>
          <t>06285147000920</t>
        </is>
      </c>
      <c r="E303" s="14">
        <f>L303-K303</f>
        <v/>
      </c>
      <c r="F303" s="14" t="n">
        <v>0</v>
      </c>
      <c r="G303" s="14">
        <f>F303-E303</f>
        <v/>
      </c>
      <c r="H303" s="7" t="n">
        <v>30.65</v>
      </c>
      <c r="I303" s="7">
        <f>G303*H303</f>
        <v/>
      </c>
      <c r="J303" s="16" t="inlineStr">
        <is>
          <t>لم يُجرد</t>
        </is>
      </c>
      <c r="K303" s="14" t="n">
        <v>0</v>
      </c>
      <c r="L303" s="14" t="n">
        <v>11</v>
      </c>
      <c r="M303" s="5" t="inlineStr"/>
      <c r="N303" s="5" t="inlineStr"/>
    </row>
    <row r="304">
      <c r="A304" s="13" t="inlineStr">
        <is>
          <t>00041303</t>
        </is>
      </c>
      <c r="B304" s="5" t="inlineStr">
        <is>
          <t>[00041303] SS OMEGA 3 M-VIT MEN 30CAP</t>
        </is>
      </c>
      <c r="C304" s="5" t="inlineStr">
        <is>
          <t>دواء</t>
        </is>
      </c>
      <c r="D304" s="13" t="inlineStr">
        <is>
          <t>8700216531894</t>
        </is>
      </c>
      <c r="E304" s="14">
        <f>L304-K304</f>
        <v/>
      </c>
      <c r="F304" s="14" t="n">
        <v>0</v>
      </c>
      <c r="G304" s="14">
        <f>F304-E304</f>
        <v/>
      </c>
      <c r="H304" s="7" t="n">
        <v>94.81999999999999</v>
      </c>
      <c r="I304" s="7">
        <f>G304*H304</f>
        <v/>
      </c>
      <c r="J304" s="16" t="inlineStr">
        <is>
          <t>لم يُجرد</t>
        </is>
      </c>
      <c r="K304" s="14" t="n">
        <v>0</v>
      </c>
      <c r="L304" s="14" t="n">
        <v>4</v>
      </c>
      <c r="M304" s="5" t="inlineStr"/>
      <c r="N304" s="5" t="inlineStr"/>
    </row>
    <row r="305">
      <c r="A305" s="13" t="inlineStr">
        <is>
          <t>00018336</t>
        </is>
      </c>
      <c r="B305" s="5" t="inlineStr">
        <is>
          <t>[00018336] ROYAL HONEY 20 SACHETS 2919</t>
        </is>
      </c>
      <c r="C305" s="5" t="inlineStr">
        <is>
          <t>دواء</t>
        </is>
      </c>
      <c r="D305" s="13" t="inlineStr">
        <is>
          <t>8809255712919</t>
        </is>
      </c>
      <c r="E305" s="14">
        <f>L305-K305</f>
        <v/>
      </c>
      <c r="F305" s="14" t="n">
        <v>0</v>
      </c>
      <c r="G305" s="14">
        <f>F305-E305</f>
        <v/>
      </c>
      <c r="H305" s="7" t="n">
        <v>340</v>
      </c>
      <c r="I305" s="7">
        <f>G305*H305</f>
        <v/>
      </c>
      <c r="J305" s="16" t="inlineStr">
        <is>
          <t>لم يُجرد</t>
        </is>
      </c>
      <c r="K305" s="14" t="n">
        <v>0</v>
      </c>
      <c r="L305" s="14" t="n">
        <v>1.5</v>
      </c>
      <c r="M305" s="5" t="inlineStr"/>
      <c r="N305" s="5" t="inlineStr"/>
    </row>
    <row r="306">
      <c r="A306" s="13" t="inlineStr">
        <is>
          <t>00030073</t>
        </is>
      </c>
      <c r="B306" s="5" t="inlineStr">
        <is>
          <t>[00030073] JP CURAMIN 100MG CAP</t>
        </is>
      </c>
      <c r="C306" s="5" t="inlineStr">
        <is>
          <t>دواء</t>
        </is>
      </c>
      <c r="D306" s="13" t="inlineStr"/>
      <c r="E306" s="14">
        <f>L306-K306</f>
        <v/>
      </c>
      <c r="F306" s="14" t="n">
        <v>0</v>
      </c>
      <c r="G306" s="14">
        <f>F306-E306</f>
        <v/>
      </c>
      <c r="H306" s="7" t="n">
        <v>110</v>
      </c>
      <c r="I306" s="7">
        <f>G306*H306</f>
        <v/>
      </c>
      <c r="J306" s="16" t="inlineStr">
        <is>
          <t>لم يُجرد</t>
        </is>
      </c>
      <c r="K306" s="14" t="n">
        <v>0</v>
      </c>
      <c r="L306" s="14" t="n">
        <v>3</v>
      </c>
      <c r="M306" s="5" t="inlineStr"/>
      <c r="N306" s="5" t="inlineStr"/>
    </row>
    <row r="307">
      <c r="A307" s="13" t="inlineStr">
        <is>
          <t>0005050</t>
        </is>
      </c>
      <c r="B307" s="5" t="inlineStr">
        <is>
          <t>[0005050] ROFENAC 12.5 MG SUPPOSITORY</t>
        </is>
      </c>
      <c r="C307" s="5" t="inlineStr">
        <is>
          <t>دواء</t>
        </is>
      </c>
      <c r="D307" s="13" t="inlineStr">
        <is>
          <t>06281086010945</t>
        </is>
      </c>
      <c r="E307" s="14">
        <f>L307-K307</f>
        <v/>
      </c>
      <c r="F307" s="14" t="n">
        <v>0</v>
      </c>
      <c r="G307" s="14">
        <f>F307-E307</f>
        <v/>
      </c>
      <c r="H307" s="7" t="n">
        <v>9.35</v>
      </c>
      <c r="I307" s="7">
        <f>G307*H307</f>
        <v/>
      </c>
      <c r="J307" s="16" t="inlineStr">
        <is>
          <t>لم يُجرد</t>
        </is>
      </c>
      <c r="K307" s="14" t="n">
        <v>0</v>
      </c>
      <c r="L307" s="14" t="n">
        <v>36</v>
      </c>
      <c r="M307" s="5" t="inlineStr"/>
      <c r="N307" s="5" t="inlineStr"/>
    </row>
    <row r="308">
      <c r="A308" s="13" t="inlineStr">
        <is>
          <t>0005248</t>
        </is>
      </c>
      <c r="B308" s="5" t="inlineStr">
        <is>
          <t>[0005248] PREDO SYRUP 120 ML</t>
        </is>
      </c>
      <c r="C308" s="5" t="inlineStr">
        <is>
          <t>دواء</t>
        </is>
      </c>
      <c r="D308" s="13" t="inlineStr">
        <is>
          <t>06285101001222</t>
        </is>
      </c>
      <c r="E308" s="14">
        <f>L308-K308</f>
        <v/>
      </c>
      <c r="F308" s="14" t="n">
        <v>0</v>
      </c>
      <c r="G308" s="14">
        <f>F308-E308</f>
        <v/>
      </c>
      <c r="H308" s="7" t="n">
        <v>42</v>
      </c>
      <c r="I308" s="7">
        <f>G308*H308</f>
        <v/>
      </c>
      <c r="J308" s="16" t="inlineStr">
        <is>
          <t>لم يُجرد</t>
        </is>
      </c>
      <c r="K308" s="14" t="n">
        <v>0</v>
      </c>
      <c r="L308" s="14" t="n">
        <v>8</v>
      </c>
      <c r="M308" s="5" t="inlineStr"/>
      <c r="N308" s="5" t="inlineStr"/>
    </row>
    <row r="309">
      <c r="A309" s="13" t="inlineStr">
        <is>
          <t>0005809</t>
        </is>
      </c>
      <c r="B309" s="5" t="inlineStr">
        <is>
          <t>[0005809] LORINE 5MG SYRUP 100ML</t>
        </is>
      </c>
      <c r="C309" s="5" t="inlineStr">
        <is>
          <t>دواء</t>
        </is>
      </c>
      <c r="D309" s="13" t="inlineStr">
        <is>
          <t>10993561117031117200</t>
        </is>
      </c>
      <c r="E309" s="14">
        <f>L309-K309</f>
        <v/>
      </c>
      <c r="F309" s="14" t="n">
        <v>0</v>
      </c>
      <c r="G309" s="14">
        <f>F309-E309</f>
        <v/>
      </c>
      <c r="H309" s="7" t="n">
        <v>18.65</v>
      </c>
      <c r="I309" s="7">
        <f>G309*H309</f>
        <v/>
      </c>
      <c r="J309" s="16" t="inlineStr">
        <is>
          <t>لم يُجرد</t>
        </is>
      </c>
      <c r="K309" s="14" t="n">
        <v>0</v>
      </c>
      <c r="L309" s="14" t="n">
        <v>18</v>
      </c>
      <c r="M309" s="5" t="inlineStr"/>
      <c r="N309" s="5" t="inlineStr"/>
    </row>
    <row r="310">
      <c r="A310" s="13" t="inlineStr">
        <is>
          <t>00043182</t>
        </is>
      </c>
      <c r="B310" s="5" t="inlineStr">
        <is>
          <t>[00043182] TENORYL PLUS 5 MG/5 MG TABLET WASFA</t>
        </is>
      </c>
      <c r="C310" s="5" t="inlineStr">
        <is>
          <t>دواء</t>
        </is>
      </c>
      <c r="D310" s="13" t="inlineStr"/>
      <c r="E310" s="14">
        <f>L310-K310</f>
        <v/>
      </c>
      <c r="F310" s="14" t="n">
        <v>0</v>
      </c>
      <c r="G310" s="14">
        <f>F310-E310</f>
        <v/>
      </c>
      <c r="H310" s="7" t="n">
        <v>55.6</v>
      </c>
      <c r="I310" s="7">
        <f>G310*H310</f>
        <v/>
      </c>
      <c r="J310" s="16" t="inlineStr">
        <is>
          <t>لم يُجرد</t>
        </is>
      </c>
      <c r="K310" s="14" t="n">
        <v>0</v>
      </c>
      <c r="L310" s="14" t="n">
        <v>6</v>
      </c>
      <c r="M310" s="5" t="inlineStr"/>
      <c r="N310" s="5" t="inlineStr"/>
    </row>
    <row r="311">
      <c r="A311" s="13" t="inlineStr">
        <is>
          <t>0003138</t>
        </is>
      </c>
      <c r="B311" s="5" t="inlineStr">
        <is>
          <t>[0003138] GLIPTAMET 50/1000 56TAB</t>
        </is>
      </c>
      <c r="C311" s="5" t="inlineStr">
        <is>
          <t>دواء</t>
        </is>
      </c>
      <c r="D311" s="13" t="inlineStr"/>
      <c r="E311" s="14">
        <f>L311-K311</f>
        <v/>
      </c>
      <c r="F311" s="14" t="n">
        <v>0</v>
      </c>
      <c r="G311" s="14">
        <f>F311-E311</f>
        <v/>
      </c>
      <c r="H311" s="7" t="n">
        <v>106.4</v>
      </c>
      <c r="I311" s="7">
        <f>G311*H311</f>
        <v/>
      </c>
      <c r="J311" s="16" t="inlineStr">
        <is>
          <t>لم يُجرد</t>
        </is>
      </c>
      <c r="K311" s="14" t="n">
        <v>0</v>
      </c>
      <c r="L311" s="14" t="n">
        <v>3</v>
      </c>
      <c r="M311" s="5" t="inlineStr"/>
      <c r="N311" s="5" t="inlineStr"/>
    </row>
    <row r="312">
      <c r="A312" s="13" t="inlineStr">
        <is>
          <t>0003932</t>
        </is>
      </c>
      <c r="B312" s="5" t="inlineStr">
        <is>
          <t>[0003932] DEXTROKUF COUGH SYRUP 100ML</t>
        </is>
      </c>
      <c r="C312" s="5" t="inlineStr">
        <is>
          <t>دواء</t>
        </is>
      </c>
      <c r="D312" s="13" t="inlineStr">
        <is>
          <t>06285085000273</t>
        </is>
      </c>
      <c r="E312" s="14">
        <f>L312-K312</f>
        <v/>
      </c>
      <c r="F312" s="14" t="n">
        <v>0</v>
      </c>
      <c r="G312" s="14">
        <f>F312-E312</f>
        <v/>
      </c>
      <c r="H312" s="7" t="n">
        <v>7.2</v>
      </c>
      <c r="I312" s="7">
        <f>G312*H312</f>
        <v/>
      </c>
      <c r="J312" s="16" t="inlineStr">
        <is>
          <t>لم يُجرد</t>
        </is>
      </c>
      <c r="K312" s="14" t="n">
        <v>0</v>
      </c>
      <c r="L312" s="14" t="n">
        <v>49</v>
      </c>
      <c r="M312" s="5" t="inlineStr"/>
      <c r="N312" s="5" t="inlineStr"/>
    </row>
    <row r="313">
      <c r="A313" s="13" t="inlineStr">
        <is>
          <t>00034838</t>
        </is>
      </c>
      <c r="B313" s="5" t="inlineStr">
        <is>
          <t>[00034838] ELMENT  APPLE CIDER 60GUMS</t>
        </is>
      </c>
      <c r="C313" s="5" t="inlineStr">
        <is>
          <t>دواء</t>
        </is>
      </c>
      <c r="D313" s="13" t="inlineStr">
        <is>
          <t>6939964032199</t>
        </is>
      </c>
      <c r="E313" s="14">
        <f>L313-K313</f>
        <v/>
      </c>
      <c r="F313" s="14" t="n">
        <v>0</v>
      </c>
      <c r="G313" s="14">
        <f>F313-E313</f>
        <v/>
      </c>
      <c r="H313" s="7" t="n">
        <v>90</v>
      </c>
      <c r="I313" s="7">
        <f>G313*H313</f>
        <v/>
      </c>
      <c r="J313" s="16" t="inlineStr">
        <is>
          <t>لم يُجرد</t>
        </is>
      </c>
      <c r="K313" s="14" t="n">
        <v>0</v>
      </c>
      <c r="L313" s="14" t="n">
        <v>5</v>
      </c>
      <c r="M313" s="5" t="inlineStr"/>
      <c r="N313" s="5" t="inlineStr"/>
    </row>
    <row r="314">
      <c r="A314" s="13" t="inlineStr">
        <is>
          <t>00049000</t>
        </is>
      </c>
      <c r="B314" s="5" t="inlineStr">
        <is>
          <t>[00049000] BIO SMART DRINK 230 ML 0533</t>
        </is>
      </c>
      <c r="C314" s="5" t="inlineStr">
        <is>
          <t>دواء</t>
        </is>
      </c>
      <c r="D314" s="13" t="inlineStr">
        <is>
          <t>6285343000533</t>
        </is>
      </c>
      <c r="E314" s="14">
        <f>L314-K314</f>
        <v/>
      </c>
      <c r="F314" s="14" t="n">
        <v>0</v>
      </c>
      <c r="G314" s="14">
        <f>F314-E314</f>
        <v/>
      </c>
      <c r="H314" s="7" t="n">
        <v>114.65</v>
      </c>
      <c r="I314" s="7">
        <f>G314*H314</f>
        <v/>
      </c>
      <c r="J314" s="16" t="inlineStr">
        <is>
          <t>لم يُجرد</t>
        </is>
      </c>
      <c r="K314" s="14" t="n">
        <v>0</v>
      </c>
      <c r="L314" s="14" t="n">
        <v>6</v>
      </c>
      <c r="M314" s="5" t="inlineStr"/>
      <c r="N314" s="5" t="inlineStr"/>
    </row>
    <row r="315">
      <c r="A315" s="13" t="inlineStr">
        <is>
          <t>0004235</t>
        </is>
      </c>
      <c r="B315" s="5" t="inlineStr">
        <is>
          <t>[0004235] CIPRODAR 500 MG 10 TAB</t>
        </is>
      </c>
      <c r="C315" s="5" t="inlineStr">
        <is>
          <t>دواء</t>
        </is>
      </c>
      <c r="D315" s="13" t="inlineStr"/>
      <c r="E315" s="14">
        <f>L315-K315</f>
        <v/>
      </c>
      <c r="F315" s="14" t="n">
        <v>0</v>
      </c>
      <c r="G315" s="14">
        <f>F315-E315</f>
        <v/>
      </c>
      <c r="H315" s="7" t="n">
        <v>46.95</v>
      </c>
      <c r="I315" s="7">
        <f>G315*H315</f>
        <v/>
      </c>
      <c r="J315" s="16" t="inlineStr">
        <is>
          <t>لم يُجرد</t>
        </is>
      </c>
      <c r="K315" s="14" t="n">
        <v>0</v>
      </c>
      <c r="L315" s="14" t="n">
        <v>7</v>
      </c>
      <c r="M315" s="5" t="inlineStr"/>
      <c r="N315" s="5" t="inlineStr"/>
    </row>
    <row r="316">
      <c r="A316" s="13" t="inlineStr">
        <is>
          <t>0005503</t>
        </is>
      </c>
      <c r="B316" s="5" t="inlineStr">
        <is>
          <t>[0005503] NEXIUM 20MG 14TAB</t>
        </is>
      </c>
      <c r="C316" s="5" t="inlineStr">
        <is>
          <t>دواء</t>
        </is>
      </c>
      <c r="D316" s="13" t="inlineStr">
        <is>
          <t>05000456082426</t>
        </is>
      </c>
      <c r="E316" s="14">
        <f>L316-K316</f>
        <v/>
      </c>
      <c r="F316" s="14" t="n">
        <v>0</v>
      </c>
      <c r="G316" s="14">
        <f>F316-E316</f>
        <v/>
      </c>
      <c r="H316" s="7" t="n">
        <v>35.25</v>
      </c>
      <c r="I316" s="7">
        <f>G316*H316</f>
        <v/>
      </c>
      <c r="J316" s="16" t="inlineStr">
        <is>
          <t>لم يُجرد</t>
        </is>
      </c>
      <c r="K316" s="14" t="n">
        <v>0</v>
      </c>
      <c r="L316" s="14" t="n">
        <v>10</v>
      </c>
      <c r="M316" s="5" t="inlineStr"/>
      <c r="N316" s="5" t="inlineStr"/>
    </row>
    <row r="317">
      <c r="A317" s="13" t="inlineStr">
        <is>
          <t>0005796</t>
        </is>
      </c>
      <c r="B317" s="5" t="inlineStr">
        <is>
          <t>[0005796] ROXONIN 60MG 20 TAB</t>
        </is>
      </c>
      <c r="C317" s="5" t="inlineStr">
        <is>
          <t>دواء</t>
        </is>
      </c>
      <c r="D317" s="13" t="inlineStr">
        <is>
          <t>06285094000288</t>
        </is>
      </c>
      <c r="E317" s="14">
        <f>L317-K317</f>
        <v/>
      </c>
      <c r="F317" s="14" t="n">
        <v>0</v>
      </c>
      <c r="G317" s="14">
        <f>F317-E317</f>
        <v/>
      </c>
      <c r="H317" s="7" t="n">
        <v>30.4</v>
      </c>
      <c r="I317" s="7">
        <f>G317*H317</f>
        <v/>
      </c>
      <c r="J317" s="16" t="inlineStr">
        <is>
          <t>لم يُجرد</t>
        </is>
      </c>
      <c r="K317" s="14" t="n">
        <v>0</v>
      </c>
      <c r="L317" s="14" t="n">
        <v>10.67</v>
      </c>
      <c r="M317" s="5" t="inlineStr"/>
      <c r="N317" s="5" t="inlineStr"/>
    </row>
    <row r="318">
      <c r="A318" s="13" t="inlineStr">
        <is>
          <t>0003308</t>
        </is>
      </c>
      <c r="B318" s="5" t="inlineStr">
        <is>
          <t>[0003308] LATANO 0.005% OPTH SOLN</t>
        </is>
      </c>
      <c r="C318" s="5" t="inlineStr">
        <is>
          <t>دواء</t>
        </is>
      </c>
      <c r="D318" s="13" t="inlineStr">
        <is>
          <t>6285128000536</t>
        </is>
      </c>
      <c r="E318" s="14">
        <f>L318-K318</f>
        <v/>
      </c>
      <c r="F318" s="14" t="n">
        <v>0</v>
      </c>
      <c r="G318" s="14">
        <f>F318-E318</f>
        <v/>
      </c>
      <c r="H318" s="7" t="n">
        <v>40.5</v>
      </c>
      <c r="I318" s="7">
        <f>G318*H318</f>
        <v/>
      </c>
      <c r="J318" s="16" t="inlineStr">
        <is>
          <t>لم يُجرد</t>
        </is>
      </c>
      <c r="K318" s="14" t="n">
        <v>0</v>
      </c>
      <c r="L318" s="14" t="n">
        <v>8</v>
      </c>
      <c r="M318" s="5" t="inlineStr"/>
      <c r="N318" s="5" t="inlineStr"/>
    </row>
    <row r="319">
      <c r="A319" s="13" t="inlineStr">
        <is>
          <t>0003623</t>
        </is>
      </c>
      <c r="B319" s="5" t="inlineStr">
        <is>
          <t>[0003623] FOLIC ACID 5MG 20TAB</t>
        </is>
      </c>
      <c r="C319" s="5" t="inlineStr">
        <is>
          <t>دواء</t>
        </is>
      </c>
      <c r="D319" s="13" t="inlineStr">
        <is>
          <t>06281080011276</t>
        </is>
      </c>
      <c r="E319" s="14">
        <f>L319-K319</f>
        <v/>
      </c>
      <c r="F319" s="14" t="n">
        <v>0</v>
      </c>
      <c r="G319" s="14">
        <f>F319-E319</f>
        <v/>
      </c>
      <c r="H319" s="7" t="n">
        <v>6.9</v>
      </c>
      <c r="I319" s="7">
        <f>G319*H319</f>
        <v/>
      </c>
      <c r="J319" s="16" t="inlineStr">
        <is>
          <t>لم يُجرد</t>
        </is>
      </c>
      <c r="K319" s="14" t="n">
        <v>0</v>
      </c>
      <c r="L319" s="14" t="n">
        <v>53</v>
      </c>
      <c r="M319" s="5" t="inlineStr"/>
      <c r="N319" s="5" t="inlineStr"/>
    </row>
    <row r="320">
      <c r="A320" s="13" t="inlineStr">
        <is>
          <t>0003318</t>
        </is>
      </c>
      <c r="B320" s="5" t="inlineStr">
        <is>
          <t>[0003318] LANTUS SOLOSTAR 100 5PEN 3MLTMR</t>
        </is>
      </c>
      <c r="C320" s="5" t="inlineStr">
        <is>
          <t>دواء</t>
        </is>
      </c>
      <c r="D320" s="13" t="inlineStr">
        <is>
          <t>06286023001000</t>
        </is>
      </c>
      <c r="E320" s="14">
        <f>L320-K320</f>
        <v/>
      </c>
      <c r="F320" s="14" t="n">
        <v>0</v>
      </c>
      <c r="G320" s="14">
        <f>F320-E320</f>
        <v/>
      </c>
      <c r="H320" s="7" t="n">
        <v>296.45</v>
      </c>
      <c r="I320" s="7">
        <f>G320*H320</f>
        <v/>
      </c>
      <c r="J320" s="16" t="inlineStr">
        <is>
          <t>لم يُجرد</t>
        </is>
      </c>
      <c r="K320" s="14" t="n">
        <v>0</v>
      </c>
      <c r="L320" s="14" t="n">
        <v>1</v>
      </c>
      <c r="M320" s="5" t="inlineStr"/>
      <c r="N320" s="5" t="inlineStr"/>
    </row>
    <row r="321">
      <c r="A321" s="13" t="inlineStr">
        <is>
          <t>00028048</t>
        </is>
      </c>
      <c r="B321" s="5" t="inlineStr">
        <is>
          <t>[00028048] AVALON CO-PAN 100ML SYP</t>
        </is>
      </c>
      <c r="C321" s="5" t="inlineStr">
        <is>
          <t>دواء</t>
        </is>
      </c>
      <c r="D321" s="13" t="inlineStr">
        <is>
          <t>4016369717004</t>
        </is>
      </c>
      <c r="E321" s="14">
        <f>L321-K321</f>
        <v/>
      </c>
      <c r="F321" s="14" t="n">
        <v>0</v>
      </c>
      <c r="G321" s="14">
        <f>F321-E321</f>
        <v/>
      </c>
      <c r="H321" s="7" t="n">
        <v>56</v>
      </c>
      <c r="I321" s="7">
        <f>G321*H321</f>
        <v/>
      </c>
      <c r="J321" s="16" t="inlineStr">
        <is>
          <t>لم يُجرد</t>
        </is>
      </c>
      <c r="K321" s="14" t="n">
        <v>0</v>
      </c>
      <c r="L321" s="14" t="n">
        <v>13</v>
      </c>
      <c r="M321" s="5" t="inlineStr"/>
      <c r="N321" s="5" t="inlineStr"/>
    </row>
    <row r="322">
      <c r="A322" s="13" t="inlineStr">
        <is>
          <t>0003677</t>
        </is>
      </c>
      <c r="B322" s="5" t="inlineStr">
        <is>
          <t>[0003677] FUCIDIN H CREAM 30GM</t>
        </is>
      </c>
      <c r="C322" s="5" t="inlineStr">
        <is>
          <t>دواء</t>
        </is>
      </c>
      <c r="D322" s="13" t="inlineStr">
        <is>
          <t>01057021910106192105</t>
        </is>
      </c>
      <c r="E322" s="14">
        <f>L322-K322</f>
        <v/>
      </c>
      <c r="F322" s="14" t="n">
        <v>0</v>
      </c>
      <c r="G322" s="14">
        <f>F322-E322</f>
        <v/>
      </c>
      <c r="H322" s="7" t="n">
        <v>38.5</v>
      </c>
      <c r="I322" s="7">
        <f>G322*H322</f>
        <v/>
      </c>
      <c r="J322" s="16" t="inlineStr">
        <is>
          <t>لم يُجرد</t>
        </is>
      </c>
      <c r="K322" s="14" t="n">
        <v>0</v>
      </c>
      <c r="L322" s="14" t="n">
        <v>9</v>
      </c>
      <c r="M322" s="5" t="inlineStr"/>
      <c r="N322" s="5" t="inlineStr"/>
    </row>
    <row r="323">
      <c r="A323" s="13" t="inlineStr">
        <is>
          <t>00028063</t>
        </is>
      </c>
      <c r="B323" s="5" t="inlineStr">
        <is>
          <t>[00028063] PROLIFE PREMIUM 30SACHETS</t>
        </is>
      </c>
      <c r="C323" s="5" t="inlineStr">
        <is>
          <t>دواء</t>
        </is>
      </c>
      <c r="D323" s="13" t="inlineStr">
        <is>
          <t>8809110408261</t>
        </is>
      </c>
      <c r="E323" s="14">
        <f>L323-K323</f>
        <v/>
      </c>
      <c r="F323" s="14" t="n">
        <v>0</v>
      </c>
      <c r="G323" s="14">
        <f>F323-E323</f>
        <v/>
      </c>
      <c r="H323" s="7" t="n">
        <v>158</v>
      </c>
      <c r="I323" s="7">
        <f>G323*H323</f>
        <v/>
      </c>
      <c r="J323" s="16" t="inlineStr">
        <is>
          <t>لم يُجرد</t>
        </is>
      </c>
      <c r="K323" s="14" t="n">
        <v>0</v>
      </c>
      <c r="L323" s="14" t="n">
        <v>2</v>
      </c>
      <c r="M323" s="5" t="inlineStr"/>
      <c r="N323" s="5" t="inlineStr"/>
    </row>
    <row r="324">
      <c r="A324" s="13" t="inlineStr">
        <is>
          <t>00046461</t>
        </is>
      </c>
      <c r="B324" s="5" t="inlineStr">
        <is>
          <t>[00046461] SEQUIT 300 MG 30TAB</t>
        </is>
      </c>
      <c r="C324" s="5" t="inlineStr">
        <is>
          <t>دواء</t>
        </is>
      </c>
      <c r="D324" s="13" t="inlineStr"/>
      <c r="E324" s="14">
        <f>L324-K324</f>
        <v/>
      </c>
      <c r="F324" s="14" t="n">
        <v>0</v>
      </c>
      <c r="G324" s="14">
        <f>F324-E324</f>
        <v/>
      </c>
      <c r="H324" s="7" t="n">
        <v>102.55</v>
      </c>
      <c r="I324" s="7">
        <f>G324*H324</f>
        <v/>
      </c>
      <c r="J324" s="16" t="inlineStr">
        <is>
          <t>لم يُجرد</t>
        </is>
      </c>
      <c r="K324" s="14" t="n">
        <v>0</v>
      </c>
      <c r="L324" s="14" t="n">
        <v>3</v>
      </c>
      <c r="M324" s="5" t="inlineStr"/>
      <c r="N324" s="5" t="inlineStr"/>
    </row>
    <row r="325">
      <c r="A325" s="13" t="inlineStr">
        <is>
          <t>00014584</t>
        </is>
      </c>
      <c r="B325" s="5" t="inlineStr">
        <is>
          <t>[00014584] ONE TOUCH SELECT PLUS 50 STRIPS 014500</t>
        </is>
      </c>
      <c r="C325" s="5" t="inlineStr">
        <is>
          <t>دواء</t>
        </is>
      </c>
      <c r="D325" s="13" t="inlineStr">
        <is>
          <t>7613427014500</t>
        </is>
      </c>
      <c r="E325" s="14">
        <f>L325-K325</f>
        <v/>
      </c>
      <c r="F325" s="14" t="n">
        <v>0</v>
      </c>
      <c r="G325" s="14">
        <f>F325-E325</f>
        <v/>
      </c>
      <c r="H325" s="7" t="n">
        <v>79</v>
      </c>
      <c r="I325" s="7">
        <f>G325*H325</f>
        <v/>
      </c>
      <c r="J325" s="16" t="inlineStr">
        <is>
          <t>لم يُجرد</t>
        </is>
      </c>
      <c r="K325" s="14" t="n">
        <v>0</v>
      </c>
      <c r="L325" s="14" t="n">
        <v>5</v>
      </c>
      <c r="M325" s="5" t="inlineStr"/>
      <c r="N325" s="5" t="inlineStr"/>
    </row>
    <row r="326">
      <c r="A326" s="13" t="inlineStr">
        <is>
          <t>0003370</t>
        </is>
      </c>
      <c r="B326" s="5" t="inlineStr">
        <is>
          <t>[0003370] KLAVOX 228MG SUSPENSION 70ML</t>
        </is>
      </c>
      <c r="C326" s="5" t="inlineStr">
        <is>
          <t>دواء</t>
        </is>
      </c>
      <c r="D326" s="13" t="inlineStr">
        <is>
          <t>01062810860017451012</t>
        </is>
      </c>
      <c r="E326" s="14">
        <f>L326-K326</f>
        <v/>
      </c>
      <c r="F326" s="14" t="n">
        <v>0</v>
      </c>
      <c r="G326" s="14">
        <f>F326-E326</f>
        <v/>
      </c>
      <c r="H326" s="7" t="n">
        <v>15.25</v>
      </c>
      <c r="I326" s="7">
        <f>G326*H326</f>
        <v/>
      </c>
      <c r="J326" s="16" t="inlineStr">
        <is>
          <t>لم يُجرد</t>
        </is>
      </c>
      <c r="K326" s="14" t="n">
        <v>0</v>
      </c>
      <c r="L326" s="14" t="n">
        <v>21</v>
      </c>
      <c r="M326" s="5" t="inlineStr"/>
      <c r="N326" s="5" t="inlineStr"/>
    </row>
    <row r="327">
      <c r="A327" s="13" t="inlineStr">
        <is>
          <t>00045796</t>
        </is>
      </c>
      <c r="B327" s="5" t="inlineStr">
        <is>
          <t>[00045796] LOTINIL 5ML EYE DROPS</t>
        </is>
      </c>
      <c r="C327" s="5" t="inlineStr">
        <is>
          <t>دواء</t>
        </is>
      </c>
      <c r="D327" s="13" t="inlineStr"/>
      <c r="E327" s="14">
        <f>L327-K327</f>
        <v/>
      </c>
      <c r="F327" s="14" t="n">
        <v>0</v>
      </c>
      <c r="G327" s="14">
        <f>F327-E327</f>
        <v/>
      </c>
      <c r="H327" s="7" t="n">
        <v>64</v>
      </c>
      <c r="I327" s="7">
        <f>G327*H327</f>
        <v/>
      </c>
      <c r="J327" s="16" t="inlineStr">
        <is>
          <t>لم يُجرد</t>
        </is>
      </c>
      <c r="K327" s="14" t="n">
        <v>0</v>
      </c>
      <c r="L327" s="14" t="n">
        <v>5</v>
      </c>
      <c r="M327" s="5" t="inlineStr"/>
      <c r="N327" s="5" t="inlineStr"/>
    </row>
    <row r="328">
      <c r="A328" s="13" t="inlineStr">
        <is>
          <t>00015945</t>
        </is>
      </c>
      <c r="B328" s="5" t="inlineStr">
        <is>
          <t>[00015945] CEFPROZ 250MG/SUSP 100ML</t>
        </is>
      </c>
      <c r="C328" s="5" t="inlineStr">
        <is>
          <t>دواء</t>
        </is>
      </c>
      <c r="D328" s="13" t="inlineStr">
        <is>
          <t>06291100782789</t>
        </is>
      </c>
      <c r="E328" s="14">
        <f>L328-K328</f>
        <v/>
      </c>
      <c r="F328" s="14" t="n">
        <v>0</v>
      </c>
      <c r="G328" s="14">
        <f>F328-E328</f>
        <v/>
      </c>
      <c r="H328" s="7" t="n">
        <v>64.5</v>
      </c>
      <c r="I328" s="7">
        <f>G328*H328</f>
        <v/>
      </c>
      <c r="J328" s="16" t="inlineStr">
        <is>
          <t>لم يُجرد</t>
        </is>
      </c>
      <c r="K328" s="14" t="n">
        <v>0</v>
      </c>
      <c r="L328" s="14" t="n">
        <v>6</v>
      </c>
      <c r="M328" s="5" t="inlineStr"/>
      <c r="N328" s="5" t="inlineStr"/>
    </row>
    <row r="329">
      <c r="A329" s="13" t="inlineStr">
        <is>
          <t>0003487</t>
        </is>
      </c>
      <c r="B329" s="5" t="inlineStr">
        <is>
          <t>[0003487] HISTOP 4MG 20 TAB</t>
        </is>
      </c>
      <c r="C329" s="5" t="inlineStr">
        <is>
          <t>دواء</t>
        </is>
      </c>
      <c r="D329" s="13" t="inlineStr"/>
      <c r="E329" s="14">
        <f>L329-K329</f>
        <v/>
      </c>
      <c r="F329" s="14" t="n">
        <v>0</v>
      </c>
      <c r="G329" s="14">
        <f>F329-E329</f>
        <v/>
      </c>
      <c r="H329" s="7" t="n">
        <v>6.9</v>
      </c>
      <c r="I329" s="7">
        <f>G329*H329</f>
        <v/>
      </c>
      <c r="J329" s="16" t="inlineStr">
        <is>
          <t>لم يُجرد</t>
        </is>
      </c>
      <c r="K329" s="14" t="n">
        <v>0</v>
      </c>
      <c r="L329" s="14" t="n">
        <v>54</v>
      </c>
      <c r="M329" s="5" t="inlineStr"/>
      <c r="N329" s="5" t="inlineStr"/>
    </row>
    <row r="330">
      <c r="A330" s="13" t="inlineStr">
        <is>
          <t>0005849</t>
        </is>
      </c>
      <c r="B330" s="5" t="inlineStr">
        <is>
          <t>[0005849] AVALON AVOCAINE SPRAY 10% 50ML</t>
        </is>
      </c>
      <c r="C330" s="5" t="inlineStr">
        <is>
          <t>دواء</t>
        </is>
      </c>
      <c r="D330" s="13" t="inlineStr">
        <is>
          <t>06285095004643</t>
        </is>
      </c>
      <c r="E330" s="14">
        <f>L330-K330</f>
        <v/>
      </c>
      <c r="F330" s="14" t="n">
        <v>0</v>
      </c>
      <c r="G330" s="14">
        <f>F330-E330</f>
        <v/>
      </c>
      <c r="H330" s="7" t="n">
        <v>24.45</v>
      </c>
      <c r="I330" s="7">
        <f>G330*H330</f>
        <v/>
      </c>
      <c r="J330" s="16" t="inlineStr">
        <is>
          <t>لم يُجرد</t>
        </is>
      </c>
      <c r="K330" s="14" t="n">
        <v>0</v>
      </c>
      <c r="L330" s="14" t="n">
        <v>13</v>
      </c>
      <c r="M330" s="5" t="inlineStr"/>
      <c r="N330" s="5" t="inlineStr"/>
    </row>
    <row r="331">
      <c r="A331" s="13" t="inlineStr">
        <is>
          <t>0004681</t>
        </is>
      </c>
      <c r="B331" s="5" t="inlineStr">
        <is>
          <t>[0004681] VAVO SHAMPOO 100ML*****</t>
        </is>
      </c>
      <c r="C331" s="5" t="inlineStr">
        <is>
          <t>دواء</t>
        </is>
      </c>
      <c r="D331" s="13" t="inlineStr">
        <is>
          <t>6285147005260</t>
        </is>
      </c>
      <c r="E331" s="14">
        <f>L331-K331</f>
        <v/>
      </c>
      <c r="F331" s="14" t="n">
        <v>0</v>
      </c>
      <c r="G331" s="14">
        <f>F331-E331</f>
        <v/>
      </c>
      <c r="H331" s="7" t="n">
        <v>26.5</v>
      </c>
      <c r="I331" s="7">
        <f>G331*H331</f>
        <v/>
      </c>
      <c r="J331" s="16" t="inlineStr">
        <is>
          <t>لم يُجرد</t>
        </is>
      </c>
      <c r="K331" s="14" t="n">
        <v>0</v>
      </c>
      <c r="L331" s="14" t="n">
        <v>12</v>
      </c>
      <c r="M331" s="5" t="inlineStr"/>
      <c r="N331" s="5" t="inlineStr"/>
    </row>
    <row r="332">
      <c r="A332" s="13" t="inlineStr">
        <is>
          <t>00036926</t>
        </is>
      </c>
      <c r="B332" s="5" t="inlineStr">
        <is>
          <t>[00036926] INFABIOTIC D3 10ML DROPS JR.PH</t>
        </is>
      </c>
      <c r="C332" s="5" t="inlineStr">
        <is>
          <t>دواء</t>
        </is>
      </c>
      <c r="D332" s="13" t="inlineStr">
        <is>
          <t>795697003396</t>
        </is>
      </c>
      <c r="E332" s="14">
        <f>L332-K332</f>
        <v/>
      </c>
      <c r="F332" s="14" t="n">
        <v>0</v>
      </c>
      <c r="G332" s="14">
        <f>F332-E332</f>
        <v/>
      </c>
      <c r="H332" s="7" t="n">
        <v>88</v>
      </c>
      <c r="I332" s="7">
        <f>G332*H332</f>
        <v/>
      </c>
      <c r="J332" s="16" t="inlineStr">
        <is>
          <t>لم يُجرد</t>
        </is>
      </c>
      <c r="K332" s="14" t="n">
        <v>0</v>
      </c>
      <c r="L332" s="14" t="n">
        <v>3</v>
      </c>
      <c r="M332" s="5" t="inlineStr"/>
      <c r="N332" s="5" t="inlineStr"/>
    </row>
    <row r="333">
      <c r="A333" s="13" t="inlineStr">
        <is>
          <t>00019795</t>
        </is>
      </c>
      <c r="B333" s="5" t="inlineStr">
        <is>
          <t>[00019795] ASTROGLIDE STRAWBERRY73.9ML 1145</t>
        </is>
      </c>
      <c r="C333" s="5" t="inlineStr">
        <is>
          <t>دواء</t>
        </is>
      </c>
      <c r="D333" s="13" t="inlineStr">
        <is>
          <t>0015594011455</t>
        </is>
      </c>
      <c r="E333" s="14">
        <f>L333-K333</f>
        <v/>
      </c>
      <c r="F333" s="14" t="n">
        <v>0</v>
      </c>
      <c r="G333" s="14">
        <f>F333-E333</f>
        <v/>
      </c>
      <c r="H333" s="7" t="n">
        <v>42</v>
      </c>
      <c r="I333" s="7">
        <f>G333*H333</f>
        <v/>
      </c>
      <c r="J333" s="16" t="inlineStr">
        <is>
          <t>لم يُجرد</t>
        </is>
      </c>
      <c r="K333" s="14" t="n">
        <v>0</v>
      </c>
      <c r="L333" s="14" t="n">
        <v>11</v>
      </c>
      <c r="M333" s="5" t="inlineStr"/>
      <c r="N333" s="5" t="inlineStr"/>
    </row>
    <row r="334">
      <c r="A334" s="13" t="inlineStr">
        <is>
          <t>0005850</t>
        </is>
      </c>
      <c r="B334" s="5" t="inlineStr">
        <is>
          <t>[0005850] AVALON AVOCIN 1% TOPICAL SOL</t>
        </is>
      </c>
      <c r="C334" s="5" t="inlineStr">
        <is>
          <t>دواء</t>
        </is>
      </c>
      <c r="D334" s="13" t="inlineStr">
        <is>
          <t>06285095004674</t>
        </is>
      </c>
      <c r="E334" s="14">
        <f>L334-K334</f>
        <v/>
      </c>
      <c r="F334" s="14" t="n">
        <v>0</v>
      </c>
      <c r="G334" s="14">
        <f>F334-E334</f>
        <v/>
      </c>
      <c r="H334" s="7" t="n">
        <v>15.05</v>
      </c>
      <c r="I334" s="7">
        <f>G334*H334</f>
        <v/>
      </c>
      <c r="J334" s="16" t="inlineStr">
        <is>
          <t>لم يُجرد</t>
        </is>
      </c>
      <c r="K334" s="14" t="n">
        <v>0</v>
      </c>
      <c r="L334" s="14" t="n">
        <v>21</v>
      </c>
      <c r="M334" s="5" t="inlineStr"/>
      <c r="N334" s="5" t="inlineStr"/>
    </row>
    <row r="335">
      <c r="A335" s="13" t="inlineStr">
        <is>
          <t>0004216</t>
        </is>
      </c>
      <c r="B335" s="5" t="inlineStr">
        <is>
          <t>[0004216] DEPRALEX 10MG 28TAB WASFA</t>
        </is>
      </c>
      <c r="C335" s="5" t="inlineStr">
        <is>
          <t>دواء</t>
        </is>
      </c>
      <c r="D335" s="13" t="inlineStr">
        <is>
          <t>01062851470008381721</t>
        </is>
      </c>
      <c r="E335" s="14">
        <f>L335-K335</f>
        <v/>
      </c>
      <c r="F335" s="14" t="n">
        <v>0</v>
      </c>
      <c r="G335" s="14">
        <f>F335-E335</f>
        <v/>
      </c>
      <c r="H335" s="7" t="n">
        <v>63.2</v>
      </c>
      <c r="I335" s="7">
        <f>G335*H335</f>
        <v/>
      </c>
      <c r="J335" s="16" t="inlineStr">
        <is>
          <t>لم يُجرد</t>
        </is>
      </c>
      <c r="K335" s="14" t="n">
        <v>0</v>
      </c>
      <c r="L335" s="14" t="n">
        <v>5</v>
      </c>
      <c r="M335" s="5" t="inlineStr"/>
      <c r="N335" s="5" t="inlineStr"/>
    </row>
    <row r="336">
      <c r="A336" s="13" t="inlineStr">
        <is>
          <t>0004812</t>
        </is>
      </c>
      <c r="B336" s="5" t="inlineStr">
        <is>
          <t>[0004812] SOLPADEINE SOLUBLE 20 TAB</t>
        </is>
      </c>
      <c r="C336" s="5" t="inlineStr">
        <is>
          <t>دواء</t>
        </is>
      </c>
      <c r="D336" s="13" t="inlineStr">
        <is>
          <t>06091403211357</t>
        </is>
      </c>
      <c r="E336" s="14">
        <f>L336-K336</f>
        <v/>
      </c>
      <c r="F336" s="14" t="n">
        <v>0</v>
      </c>
      <c r="G336" s="14">
        <f>F336-E336</f>
        <v/>
      </c>
      <c r="H336" s="7" t="n">
        <v>13.15</v>
      </c>
      <c r="I336" s="7">
        <f>G336*H336</f>
        <v/>
      </c>
      <c r="J336" s="16" t="inlineStr">
        <is>
          <t>لم يُجرد</t>
        </is>
      </c>
      <c r="K336" s="14" t="n">
        <v>0</v>
      </c>
      <c r="L336" s="14" t="n">
        <v>23.8</v>
      </c>
      <c r="M336" s="5" t="inlineStr"/>
      <c r="N336" s="5" t="inlineStr"/>
    </row>
    <row r="337">
      <c r="A337" s="13" t="inlineStr">
        <is>
          <t>0004171</t>
        </is>
      </c>
      <c r="B337" s="5" t="inlineStr">
        <is>
          <t>[0004171] DAFLON 500MG 30TAB</t>
        </is>
      </c>
      <c r="C337" s="5" t="inlineStr">
        <is>
          <t>دواء</t>
        </is>
      </c>
      <c r="D337" s="13" t="inlineStr">
        <is>
          <t>01062851080001292149</t>
        </is>
      </c>
      <c r="E337" s="14">
        <f>L337-K337</f>
        <v/>
      </c>
      <c r="F337" s="14" t="n">
        <v>0</v>
      </c>
      <c r="G337" s="14">
        <f>F337-E337</f>
        <v/>
      </c>
      <c r="H337" s="7" t="n">
        <v>34.8</v>
      </c>
      <c r="I337" s="7">
        <f>G337*H337</f>
        <v/>
      </c>
      <c r="J337" s="16" t="inlineStr">
        <is>
          <t>لم يُجرد</t>
        </is>
      </c>
      <c r="K337" s="14" t="n">
        <v>0</v>
      </c>
      <c r="L337" s="14" t="n">
        <v>9</v>
      </c>
      <c r="M337" s="5" t="inlineStr"/>
      <c r="N337" s="5" t="inlineStr"/>
    </row>
    <row r="338">
      <c r="A338" s="13" t="inlineStr">
        <is>
          <t>0004284</t>
        </is>
      </c>
      <c r="B338" s="5" t="inlineStr">
        <is>
          <t>[0004284] CLARINASE 14 TAB</t>
        </is>
      </c>
      <c r="C338" s="5" t="inlineStr">
        <is>
          <t>دواء</t>
        </is>
      </c>
      <c r="D338" s="13" t="inlineStr">
        <is>
          <t>06285074004176</t>
        </is>
      </c>
      <c r="E338" s="14">
        <f>L338-K338</f>
        <v/>
      </c>
      <c r="F338" s="14" t="n">
        <v>0</v>
      </c>
      <c r="G338" s="14">
        <f>F338-E338</f>
        <v/>
      </c>
      <c r="H338" s="7" t="n">
        <v>18.85</v>
      </c>
      <c r="I338" s="7">
        <f>G338*H338</f>
        <v/>
      </c>
      <c r="J338" s="16" t="inlineStr">
        <is>
          <t>لم يُجرد</t>
        </is>
      </c>
      <c r="K338" s="14" t="n">
        <v>0</v>
      </c>
      <c r="L338" s="14" t="n">
        <v>16.5</v>
      </c>
      <c r="M338" s="5" t="inlineStr"/>
      <c r="N338" s="5" t="inlineStr"/>
    </row>
    <row r="339">
      <c r="A339" s="13" t="inlineStr">
        <is>
          <t>0005591</t>
        </is>
      </c>
      <c r="B339" s="5" t="inlineStr">
        <is>
          <t>[0005591] MYCOSAT ORAL SUSP</t>
        </is>
      </c>
      <c r="C339" s="5" t="inlineStr">
        <is>
          <t>دواء</t>
        </is>
      </c>
      <c r="D339" s="13" t="inlineStr">
        <is>
          <t>06251151000584</t>
        </is>
      </c>
      <c r="E339" s="14">
        <f>L339-K339</f>
        <v/>
      </c>
      <c r="F339" s="14" t="n">
        <v>0</v>
      </c>
      <c r="G339" s="14">
        <f>F339-E339</f>
        <v/>
      </c>
      <c r="H339" s="7" t="n">
        <v>7.4</v>
      </c>
      <c r="I339" s="7">
        <f>G339*H339</f>
        <v/>
      </c>
      <c r="J339" s="16" t="inlineStr">
        <is>
          <t>لم يُجرد</t>
        </is>
      </c>
      <c r="K339" s="14" t="n">
        <v>0</v>
      </c>
      <c r="L339" s="14" t="n">
        <v>42</v>
      </c>
      <c r="M339" s="5" t="inlineStr"/>
      <c r="N339" s="5" t="inlineStr"/>
    </row>
    <row r="340">
      <c r="A340" s="13" t="inlineStr">
        <is>
          <t>00018227</t>
        </is>
      </c>
      <c r="B340" s="5" t="inlineStr">
        <is>
          <t>[00018227] FENSOLIN 5 MG TAB WASFA</t>
        </is>
      </c>
      <c r="C340" s="5" t="inlineStr">
        <is>
          <t>دواء</t>
        </is>
      </c>
      <c r="D340" s="13" t="inlineStr">
        <is>
          <t>06285128006644</t>
        </is>
      </c>
      <c r="E340" s="14">
        <f>L340-K340</f>
        <v/>
      </c>
      <c r="F340" s="14" t="n">
        <v>0</v>
      </c>
      <c r="G340" s="14">
        <f>F340-E340</f>
        <v/>
      </c>
      <c r="H340" s="7" t="n">
        <v>84.7</v>
      </c>
      <c r="I340" s="7">
        <f>G340*H340</f>
        <v/>
      </c>
      <c r="J340" s="16" t="inlineStr">
        <is>
          <t>لم يُجرد</t>
        </is>
      </c>
      <c r="K340" s="14" t="n">
        <v>0</v>
      </c>
      <c r="L340" s="14" t="n">
        <v>4</v>
      </c>
      <c r="M340" s="5" t="inlineStr"/>
      <c r="N340" s="5" t="inlineStr"/>
    </row>
    <row r="341">
      <c r="A341" s="13" t="inlineStr">
        <is>
          <t>00026695</t>
        </is>
      </c>
      <c r="B341" s="5" t="inlineStr">
        <is>
          <t>[00026695] EFFERTAL 30 SACH</t>
        </is>
      </c>
      <c r="C341" s="5" t="inlineStr">
        <is>
          <t>دواء</t>
        </is>
      </c>
      <c r="D341" s="13" t="inlineStr">
        <is>
          <t>0748515537535</t>
        </is>
      </c>
      <c r="E341" s="14">
        <f>L341-K341</f>
        <v/>
      </c>
      <c r="F341" s="14" t="n">
        <v>0</v>
      </c>
      <c r="G341" s="14">
        <f>F341-E341</f>
        <v/>
      </c>
      <c r="H341" s="7" t="n">
        <v>300</v>
      </c>
      <c r="I341" s="7">
        <f>G341*H341</f>
        <v/>
      </c>
      <c r="J341" s="16" t="inlineStr">
        <is>
          <t>لم يُجرد</t>
        </is>
      </c>
      <c r="K341" s="14" t="n">
        <v>0</v>
      </c>
      <c r="L341" s="14" t="n">
        <v>2</v>
      </c>
      <c r="M341" s="5" t="inlineStr"/>
      <c r="N341" s="5" t="inlineStr"/>
    </row>
    <row r="342">
      <c r="A342" s="13" t="inlineStr">
        <is>
          <t>00044961</t>
        </is>
      </c>
      <c r="B342" s="5" t="inlineStr">
        <is>
          <t>[00044961] MELIGAMET 50/1000MG 60 TAB</t>
        </is>
      </c>
      <c r="C342" s="5" t="inlineStr">
        <is>
          <t>دواء</t>
        </is>
      </c>
      <c r="D342" s="13" t="inlineStr">
        <is>
          <t>06286434000999</t>
        </is>
      </c>
      <c r="E342" s="14">
        <f>L342-K342</f>
        <v/>
      </c>
      <c r="F342" s="14" t="n">
        <v>0</v>
      </c>
      <c r="G342" s="14">
        <f>F342-E342</f>
        <v/>
      </c>
      <c r="H342" s="7" t="n">
        <v>98.8</v>
      </c>
      <c r="I342" s="7">
        <f>G342*H342</f>
        <v/>
      </c>
      <c r="J342" s="16" t="inlineStr">
        <is>
          <t>لم يُجرد</t>
        </is>
      </c>
      <c r="K342" s="14" t="n">
        <v>0</v>
      </c>
      <c r="L342" s="14" t="n">
        <v>3</v>
      </c>
      <c r="M342" s="5" t="inlineStr"/>
      <c r="N342" s="5" t="inlineStr"/>
    </row>
    <row r="343">
      <c r="A343" s="13" t="inlineStr">
        <is>
          <t>0005506</t>
        </is>
      </c>
      <c r="B343" s="5" t="inlineStr">
        <is>
          <t>[0005506] NEXIUM 40MG 28TAB</t>
        </is>
      </c>
      <c r="C343" s="5" t="inlineStr">
        <is>
          <t>دواء</t>
        </is>
      </c>
      <c r="D343" s="13" t="inlineStr">
        <is>
          <t>050004560073991719</t>
        </is>
      </c>
      <c r="E343" s="14">
        <f>L343-K343</f>
        <v/>
      </c>
      <c r="F343" s="14" t="n">
        <v>0</v>
      </c>
      <c r="G343" s="14">
        <f>F343-E343</f>
        <v/>
      </c>
      <c r="H343" s="7" t="n">
        <v>77.25</v>
      </c>
      <c r="I343" s="7">
        <f>G343*H343</f>
        <v/>
      </c>
      <c r="J343" s="16" t="inlineStr">
        <is>
          <t>لم يُجرد</t>
        </is>
      </c>
      <c r="K343" s="14" t="n">
        <v>0</v>
      </c>
      <c r="L343" s="14" t="n">
        <v>4.12</v>
      </c>
      <c r="M343" s="5" t="inlineStr"/>
      <c r="N343" s="5" t="inlineStr"/>
    </row>
    <row r="344">
      <c r="A344" s="13" t="inlineStr">
        <is>
          <t>0003850</t>
        </is>
      </c>
      <c r="B344" s="5" t="inlineStr">
        <is>
          <t>[0003850] EXFORGE 10MG/160MG 28 TAB</t>
        </is>
      </c>
      <c r="C344" s="5" t="inlineStr">
        <is>
          <t>دواء</t>
        </is>
      </c>
      <c r="D344" s="13" t="inlineStr">
        <is>
          <t>07612797583906</t>
        </is>
      </c>
      <c r="E344" s="14">
        <f>L344-K344</f>
        <v/>
      </c>
      <c r="F344" s="14" t="n">
        <v>0</v>
      </c>
      <c r="G344" s="14">
        <f>F344-E344</f>
        <v/>
      </c>
      <c r="H344" s="7" t="n">
        <v>74</v>
      </c>
      <c r="I344" s="7">
        <f>G344*H344</f>
        <v/>
      </c>
      <c r="J344" s="16" t="inlineStr">
        <is>
          <t>لم يُجرد</t>
        </is>
      </c>
      <c r="K344" s="14" t="n">
        <v>0</v>
      </c>
      <c r="L344" s="14" t="n">
        <v>4</v>
      </c>
      <c r="M344" s="5" t="inlineStr"/>
      <c r="N344" s="5" t="inlineStr"/>
    </row>
    <row r="345">
      <c r="A345" s="13" t="inlineStr">
        <is>
          <t>00018087</t>
        </is>
      </c>
      <c r="B345" s="5" t="inlineStr">
        <is>
          <t>[00018087] OMEGA 3-6-9 PLUS Q10 60CAP ECKHART</t>
        </is>
      </c>
      <c r="C345" s="5" t="inlineStr">
        <is>
          <t>دواء</t>
        </is>
      </c>
      <c r="D345" s="13" t="inlineStr">
        <is>
          <t>714654194052</t>
        </is>
      </c>
      <c r="E345" s="14">
        <f>L345-K345</f>
        <v/>
      </c>
      <c r="F345" s="14" t="n">
        <v>0</v>
      </c>
      <c r="G345" s="14">
        <f>F345-E345</f>
        <v/>
      </c>
      <c r="H345" s="7" t="n">
        <v>228</v>
      </c>
      <c r="I345" s="7">
        <f>G345*H345</f>
        <v/>
      </c>
      <c r="J345" s="16" t="inlineStr">
        <is>
          <t>لم يُجرد</t>
        </is>
      </c>
      <c r="K345" s="14" t="n">
        <v>0</v>
      </c>
      <c r="L345" s="14" t="n">
        <v>2</v>
      </c>
      <c r="M345" s="5" t="inlineStr"/>
      <c r="N345" s="5" t="inlineStr"/>
    </row>
    <row r="346">
      <c r="A346" s="13" t="inlineStr">
        <is>
          <t>00045029</t>
        </is>
      </c>
      <c r="B346" s="5" t="inlineStr">
        <is>
          <t>[00045029] FIXTEARS 10ML EYE DROPS</t>
        </is>
      </c>
      <c r="C346" s="5" t="inlineStr">
        <is>
          <t>دواء</t>
        </is>
      </c>
      <c r="D346" s="13" t="inlineStr">
        <is>
          <t>08033959760475</t>
        </is>
      </c>
      <c r="E346" s="14">
        <f>L346-K346</f>
        <v/>
      </c>
      <c r="F346" s="14" t="n">
        <v>0</v>
      </c>
      <c r="G346" s="14">
        <f>F346-E346</f>
        <v/>
      </c>
      <c r="H346" s="7" t="n">
        <v>101</v>
      </c>
      <c r="I346" s="7">
        <f>G346*H346</f>
        <v/>
      </c>
      <c r="J346" s="16" t="inlineStr">
        <is>
          <t>لم يُجرد</t>
        </is>
      </c>
      <c r="K346" s="14" t="n">
        <v>0</v>
      </c>
      <c r="L346" s="14" t="n">
        <v>3</v>
      </c>
      <c r="M346" s="5" t="inlineStr"/>
      <c r="N346" s="5" t="inlineStr"/>
    </row>
    <row r="347">
      <c r="A347" s="13" t="inlineStr">
        <is>
          <t>0003877</t>
        </is>
      </c>
      <c r="B347" s="5" t="inlineStr">
        <is>
          <t>[0003877] EUCARBON 30 TAB WASFA</t>
        </is>
      </c>
      <c r="C347" s="5" t="inlineStr">
        <is>
          <t>دواء</t>
        </is>
      </c>
      <c r="D347" s="13" t="inlineStr">
        <is>
          <t>9120005550483</t>
        </is>
      </c>
      <c r="E347" s="14">
        <f>L347-K347</f>
        <v/>
      </c>
      <c r="F347" s="14" t="n">
        <v>0</v>
      </c>
      <c r="G347" s="14">
        <f>F347-E347</f>
        <v/>
      </c>
      <c r="H347" s="7" t="n">
        <v>23.45</v>
      </c>
      <c r="I347" s="7">
        <f>G347*H347</f>
        <v/>
      </c>
      <c r="J347" s="16" t="inlineStr">
        <is>
          <t>لم يُجرد</t>
        </is>
      </c>
      <c r="K347" s="14" t="n">
        <v>0</v>
      </c>
      <c r="L347" s="14" t="n">
        <v>15.62</v>
      </c>
      <c r="M347" s="5" t="inlineStr"/>
      <c r="N347" s="5" t="inlineStr"/>
    </row>
    <row r="348">
      <c r="A348" s="13" t="inlineStr">
        <is>
          <t>0003978</t>
        </is>
      </c>
      <c r="B348" s="5" t="inlineStr">
        <is>
          <t>[0003978] ALENDRO 70MG 4TAB WASFA</t>
        </is>
      </c>
      <c r="C348" s="5" t="inlineStr">
        <is>
          <t>دواء</t>
        </is>
      </c>
      <c r="D348" s="13" t="inlineStr">
        <is>
          <t>06285128000086</t>
        </is>
      </c>
      <c r="E348" s="14">
        <f>L348-K348</f>
        <v/>
      </c>
      <c r="F348" s="14" t="n">
        <v>0</v>
      </c>
      <c r="G348" s="14">
        <f>F348-E348</f>
        <v/>
      </c>
      <c r="H348" s="7" t="n">
        <v>43.65</v>
      </c>
      <c r="I348" s="7">
        <f>G348*H348</f>
        <v/>
      </c>
      <c r="J348" s="16" t="inlineStr">
        <is>
          <t>لم يُجرد</t>
        </is>
      </c>
      <c r="K348" s="14" t="n">
        <v>0</v>
      </c>
      <c r="L348" s="14" t="n">
        <v>8</v>
      </c>
      <c r="M348" s="5" t="inlineStr"/>
      <c r="N348" s="5" t="inlineStr"/>
    </row>
    <row r="349">
      <c r="A349" s="13" t="inlineStr">
        <is>
          <t>0003960</t>
        </is>
      </c>
      <c r="B349" s="5" t="inlineStr">
        <is>
          <t>[0003960] DICYNONE 500MG 20 TAB</t>
        </is>
      </c>
      <c r="C349" s="5" t="inlineStr">
        <is>
          <t>دواء</t>
        </is>
      </c>
      <c r="D349" s="13" t="inlineStr">
        <is>
          <t>01076401074711241720</t>
        </is>
      </c>
      <c r="E349" s="14">
        <f>L349-K349</f>
        <v/>
      </c>
      <c r="F349" s="14" t="n">
        <v>0</v>
      </c>
      <c r="G349" s="14">
        <f>F349-E349</f>
        <v/>
      </c>
      <c r="H349" s="7" t="n">
        <v>50.6</v>
      </c>
      <c r="I349" s="7">
        <f>G349*H349</f>
        <v/>
      </c>
      <c r="J349" s="16" t="inlineStr">
        <is>
          <t>لم يُجرد</t>
        </is>
      </c>
      <c r="K349" s="14" t="n">
        <v>0</v>
      </c>
      <c r="L349" s="14" t="n">
        <v>6</v>
      </c>
      <c r="M349" s="5" t="inlineStr"/>
      <c r="N349" s="5" t="inlineStr"/>
    </row>
    <row r="350">
      <c r="A350" s="13" t="inlineStr">
        <is>
          <t>0003902</t>
        </is>
      </c>
      <c r="B350" s="5" t="inlineStr">
        <is>
          <t>[0003902] EMIFENAC 50MG 20TAB</t>
        </is>
      </c>
      <c r="C350" s="5" t="inlineStr">
        <is>
          <t>دواء</t>
        </is>
      </c>
      <c r="D350" s="13" t="inlineStr">
        <is>
          <t>6291103730459</t>
        </is>
      </c>
      <c r="E350" s="14">
        <f>L350-K350</f>
        <v/>
      </c>
      <c r="F350" s="14" t="n">
        <v>0</v>
      </c>
      <c r="G350" s="14">
        <f>F350-E350</f>
        <v/>
      </c>
      <c r="H350" s="7" t="n">
        <v>23.35</v>
      </c>
      <c r="I350" s="7">
        <f>G350*H350</f>
        <v/>
      </c>
      <c r="J350" s="16" t="inlineStr">
        <is>
          <t>لم يُجرد</t>
        </is>
      </c>
      <c r="K350" s="14" t="n">
        <v>0</v>
      </c>
      <c r="L350" s="14" t="n">
        <v>13</v>
      </c>
      <c r="M350" s="5" t="inlineStr"/>
      <c r="N350" s="5" t="inlineStr"/>
    </row>
    <row r="351">
      <c r="A351" s="13" t="inlineStr">
        <is>
          <t>00019976</t>
        </is>
      </c>
      <c r="B351" s="5" t="inlineStr">
        <is>
          <t>[00019976] JP MELATONIN 5MG 60CAP</t>
        </is>
      </c>
      <c r="C351" s="5" t="inlineStr">
        <is>
          <t>دواء</t>
        </is>
      </c>
      <c r="D351" s="13" t="inlineStr">
        <is>
          <t>06285128014793</t>
        </is>
      </c>
      <c r="E351" s="14">
        <f>L351-K351</f>
        <v/>
      </c>
      <c r="F351" s="14" t="n">
        <v>0</v>
      </c>
      <c r="G351" s="14">
        <f>F351-E351</f>
        <v/>
      </c>
      <c r="H351" s="7" t="n">
        <v>99</v>
      </c>
      <c r="I351" s="7">
        <f>G351*H351</f>
        <v/>
      </c>
      <c r="J351" s="16" t="inlineStr">
        <is>
          <t>لم يُجرد</t>
        </is>
      </c>
      <c r="K351" s="14" t="n">
        <v>0</v>
      </c>
      <c r="L351" s="14" t="n">
        <v>3</v>
      </c>
      <c r="M351" s="5" t="inlineStr"/>
      <c r="N351" s="5" t="inlineStr"/>
    </row>
    <row r="352">
      <c r="A352" s="13" t="inlineStr">
        <is>
          <t>0003876</t>
        </is>
      </c>
      <c r="B352" s="5" t="inlineStr">
        <is>
          <t>[0003876] ETRIVEX 0.05% SHAMPOO 125ML</t>
        </is>
      </c>
      <c r="C352" s="5" t="inlineStr">
        <is>
          <t>دواء</t>
        </is>
      </c>
      <c r="D352" s="13" t="inlineStr">
        <is>
          <t>03499320005807</t>
        </is>
      </c>
      <c r="E352" s="14">
        <f>L352-K352</f>
        <v/>
      </c>
      <c r="F352" s="14" t="n">
        <v>0</v>
      </c>
      <c r="G352" s="14">
        <f>F352-E352</f>
        <v/>
      </c>
      <c r="H352" s="7" t="n">
        <v>60.55</v>
      </c>
      <c r="I352" s="7">
        <f>G352*H352</f>
        <v/>
      </c>
      <c r="J352" s="16" t="inlineStr">
        <is>
          <t>لم يُجرد</t>
        </is>
      </c>
      <c r="K352" s="14" t="n">
        <v>0</v>
      </c>
      <c r="L352" s="14" t="n">
        <v>5</v>
      </c>
      <c r="M352" s="5" t="inlineStr"/>
      <c r="N352" s="5" t="inlineStr"/>
    </row>
    <row r="353">
      <c r="A353" s="13" t="inlineStr">
        <is>
          <t>00035665</t>
        </is>
      </c>
      <c r="B353" s="5" t="inlineStr">
        <is>
          <t>[00035665] MULTIVITAMIN KIDS 60 GUMMIES NAFEES PH</t>
        </is>
      </c>
      <c r="C353" s="5" t="inlineStr">
        <is>
          <t>دواء</t>
        </is>
      </c>
      <c r="D353" s="13" t="inlineStr">
        <is>
          <t>8682960479922</t>
        </is>
      </c>
      <c r="E353" s="14">
        <f>L353-K353</f>
        <v/>
      </c>
      <c r="F353" s="14" t="n">
        <v>0</v>
      </c>
      <c r="G353" s="14">
        <f>F353-E353</f>
        <v/>
      </c>
      <c r="H353" s="7" t="n">
        <v>105</v>
      </c>
      <c r="I353" s="7">
        <f>G353*H353</f>
        <v/>
      </c>
      <c r="J353" s="16" t="inlineStr">
        <is>
          <t>لم يُجرد</t>
        </is>
      </c>
      <c r="K353" s="14" t="n">
        <v>0</v>
      </c>
      <c r="L353" s="14" t="n">
        <v>3</v>
      </c>
      <c r="M353" s="5" t="inlineStr"/>
      <c r="N353" s="5" t="inlineStr"/>
    </row>
    <row r="354">
      <c r="A354" s="13" t="inlineStr">
        <is>
          <t>0004432</t>
        </is>
      </c>
      <c r="B354" s="5" t="inlineStr">
        <is>
          <t>[0004432] BETASERC 16 MG 40 TAB*******</t>
        </is>
      </c>
      <c r="C354" s="5" t="inlineStr">
        <is>
          <t>دواء</t>
        </is>
      </c>
      <c r="D354" s="13" t="inlineStr">
        <is>
          <t>08002660016256</t>
        </is>
      </c>
      <c r="E354" s="14">
        <f>L354-K354</f>
        <v/>
      </c>
      <c r="F354" s="14" t="n">
        <v>0</v>
      </c>
      <c r="G354" s="14">
        <f>F354-E354</f>
        <v/>
      </c>
      <c r="H354" s="7" t="n">
        <v>50.3</v>
      </c>
      <c r="I354" s="7">
        <f>G354*H354</f>
        <v/>
      </c>
      <c r="J354" s="16" t="inlineStr">
        <is>
          <t>لم يُجرد</t>
        </is>
      </c>
      <c r="K354" s="14" t="n">
        <v>0</v>
      </c>
      <c r="L354" s="14" t="n">
        <v>6</v>
      </c>
      <c r="M354" s="5" t="inlineStr"/>
      <c r="N354" s="5" t="inlineStr"/>
    </row>
    <row r="355">
      <c r="A355" s="13" t="inlineStr">
        <is>
          <t>00039678</t>
        </is>
      </c>
      <c r="B355" s="5" t="inlineStr">
        <is>
          <t>[00039678] OMEGA LIGHT 60CAP 8142</t>
        </is>
      </c>
      <c r="C355" s="5" t="inlineStr">
        <is>
          <t>دواء</t>
        </is>
      </c>
      <c r="D355" s="13" t="inlineStr">
        <is>
          <t>795044248142</t>
        </is>
      </c>
      <c r="E355" s="14">
        <f>L355-K355</f>
        <v/>
      </c>
      <c r="F355" s="14" t="n">
        <v>0</v>
      </c>
      <c r="G355" s="14">
        <f>F355-E355</f>
        <v/>
      </c>
      <c r="H355" s="7" t="n">
        <v>180</v>
      </c>
      <c r="I355" s="7">
        <f>G355*H355</f>
        <v/>
      </c>
      <c r="J355" s="16" t="inlineStr">
        <is>
          <t>لم يُجرد</t>
        </is>
      </c>
      <c r="K355" s="14" t="n">
        <v>0</v>
      </c>
      <c r="L355" s="14" t="n">
        <v>3</v>
      </c>
      <c r="M355" s="5" t="inlineStr"/>
      <c r="N355" s="5" t="inlineStr"/>
    </row>
    <row r="356">
      <c r="A356" s="13" t="inlineStr">
        <is>
          <t>0003970</t>
        </is>
      </c>
      <c r="B356" s="5" t="inlineStr">
        <is>
          <t>[0003970] DILANYL SUSP 100ML</t>
        </is>
      </c>
      <c r="C356" s="5" t="inlineStr">
        <is>
          <t>دواء</t>
        </is>
      </c>
      <c r="D356" s="13" t="inlineStr">
        <is>
          <t>01062850850003891720</t>
        </is>
      </c>
      <c r="E356" s="14">
        <f>L356-K356</f>
        <v/>
      </c>
      <c r="F356" s="14" t="n">
        <v>0</v>
      </c>
      <c r="G356" s="14">
        <f>F356-E356</f>
        <v/>
      </c>
      <c r="H356" s="7" t="n">
        <v>10.35</v>
      </c>
      <c r="I356" s="7">
        <f>G356*H356</f>
        <v/>
      </c>
      <c r="J356" s="16" t="inlineStr">
        <is>
          <t>لم يُجرد</t>
        </is>
      </c>
      <c r="K356" s="14" t="n">
        <v>0</v>
      </c>
      <c r="L356" s="14" t="n">
        <v>29</v>
      </c>
      <c r="M356" s="5" t="inlineStr"/>
      <c r="N356" s="5" t="inlineStr"/>
    </row>
    <row r="357">
      <c r="A357" s="13" t="inlineStr">
        <is>
          <t>00014897</t>
        </is>
      </c>
      <c r="B357" s="5" t="inlineStr">
        <is>
          <t>[00014897] ZOLINDA 10 MG TAB</t>
        </is>
      </c>
      <c r="C357" s="5" t="inlineStr">
        <is>
          <t>دواء</t>
        </is>
      </c>
      <c r="D357" s="13" t="inlineStr">
        <is>
          <t>06281086003282</t>
        </is>
      </c>
      <c r="E357" s="14">
        <f>L357-K357</f>
        <v/>
      </c>
      <c r="F357" s="14" t="n">
        <v>0</v>
      </c>
      <c r="G357" s="14">
        <f>F357-E357</f>
        <v/>
      </c>
      <c r="H357" s="7" t="n">
        <v>274.4</v>
      </c>
      <c r="I357" s="7">
        <f>G357*H357</f>
        <v/>
      </c>
      <c r="J357" s="16" t="inlineStr">
        <is>
          <t>لم يُجرد</t>
        </is>
      </c>
      <c r="K357" s="14" t="n">
        <v>0</v>
      </c>
      <c r="L357" s="14" t="n">
        <v>1</v>
      </c>
      <c r="M357" s="5" t="inlineStr"/>
      <c r="N357" s="5" t="inlineStr"/>
    </row>
    <row r="358">
      <c r="A358" s="13" t="inlineStr">
        <is>
          <t>0005295</t>
        </is>
      </c>
      <c r="B358" s="5" t="inlineStr">
        <is>
          <t>[0005295] PANADOL EXTEND 665MG 18 TAB-104</t>
        </is>
      </c>
      <c r="C358" s="5" t="inlineStr">
        <is>
          <t>دواء</t>
        </is>
      </c>
      <c r="D358" s="13" t="inlineStr">
        <is>
          <t>06286740000669</t>
        </is>
      </c>
      <c r="E358" s="14">
        <f>L358-K358</f>
        <v/>
      </c>
      <c r="F358" s="14" t="n">
        <v>0</v>
      </c>
      <c r="G358" s="14">
        <f>F358-E358</f>
        <v/>
      </c>
      <c r="H358" s="7" t="n">
        <v>15.75</v>
      </c>
      <c r="I358" s="7">
        <f>G358*H358</f>
        <v/>
      </c>
      <c r="J358" s="16" t="inlineStr">
        <is>
          <t>لم يُجرد</t>
        </is>
      </c>
      <c r="K358" s="14" t="n">
        <v>0</v>
      </c>
      <c r="L358" s="14" t="n">
        <v>19</v>
      </c>
      <c r="M358" s="5" t="inlineStr"/>
      <c r="N358" s="5" t="inlineStr"/>
    </row>
    <row r="359">
      <c r="A359" s="13" t="inlineStr">
        <is>
          <t>00044960</t>
        </is>
      </c>
      <c r="B359" s="5" t="inlineStr">
        <is>
          <t>[00044960] MELIGAMET 50/850 MG 60 TAB</t>
        </is>
      </c>
      <c r="C359" s="5" t="inlineStr">
        <is>
          <t>دواء</t>
        </is>
      </c>
      <c r="D359" s="13" t="inlineStr"/>
      <c r="E359" s="14">
        <f>L359-K359</f>
        <v/>
      </c>
      <c r="F359" s="14" t="n">
        <v>0</v>
      </c>
      <c r="G359" s="14">
        <f>F359-E359</f>
        <v/>
      </c>
      <c r="H359" s="7" t="n">
        <v>95.34999999999999</v>
      </c>
      <c r="I359" s="7">
        <f>G359*H359</f>
        <v/>
      </c>
      <c r="J359" s="16" t="inlineStr">
        <is>
          <t>لم يُجرد</t>
        </is>
      </c>
      <c r="K359" s="14" t="n">
        <v>0</v>
      </c>
      <c r="L359" s="14" t="n">
        <v>3</v>
      </c>
      <c r="M359" s="5" t="inlineStr"/>
      <c r="N359" s="5" t="inlineStr"/>
    </row>
    <row r="360">
      <c r="A360" s="13" t="inlineStr">
        <is>
          <t>00018262</t>
        </is>
      </c>
      <c r="B360" s="5" t="inlineStr">
        <is>
          <t>[00018262] LOVRAK SYP</t>
        </is>
      </c>
      <c r="C360" s="5" t="inlineStr">
        <is>
          <t>دواء</t>
        </is>
      </c>
      <c r="D360" s="13" t="inlineStr"/>
      <c r="E360" s="14">
        <f>L360-K360</f>
        <v/>
      </c>
      <c r="F360" s="14" t="n">
        <v>0</v>
      </c>
      <c r="G360" s="14">
        <f>F360-E360</f>
        <v/>
      </c>
      <c r="H360" s="7" t="n">
        <v>71.95</v>
      </c>
      <c r="I360" s="7">
        <f>G360*H360</f>
        <v/>
      </c>
      <c r="J360" s="16" t="inlineStr">
        <is>
          <t>لم يُجرد</t>
        </is>
      </c>
      <c r="K360" s="14" t="n">
        <v>0</v>
      </c>
      <c r="L360" s="14" t="n">
        <v>4</v>
      </c>
      <c r="M360" s="5" t="inlineStr"/>
      <c r="N360" s="5" t="inlineStr"/>
    </row>
    <row r="361">
      <c r="A361" s="13" t="inlineStr">
        <is>
          <t>0004575</t>
        </is>
      </c>
      <c r="B361" s="5" t="inlineStr">
        <is>
          <t>[0004575] WINEX 200MG CAP WASFA</t>
        </is>
      </c>
      <c r="C361" s="5" t="inlineStr">
        <is>
          <t>دواء</t>
        </is>
      </c>
      <c r="D361" s="13" t="inlineStr"/>
      <c r="E361" s="14">
        <f>L361-K361</f>
        <v/>
      </c>
      <c r="F361" s="14" t="n">
        <v>0</v>
      </c>
      <c r="G361" s="14">
        <f>F361-E361</f>
        <v/>
      </c>
      <c r="H361" s="7" t="n">
        <v>49.65</v>
      </c>
      <c r="I361" s="7">
        <f>G361*H361</f>
        <v/>
      </c>
      <c r="J361" s="16" t="inlineStr">
        <is>
          <t>لم يُجرد</t>
        </is>
      </c>
      <c r="K361" s="14" t="n">
        <v>0</v>
      </c>
      <c r="L361" s="14" t="n">
        <v>6</v>
      </c>
      <c r="M361" s="5" t="inlineStr"/>
      <c r="N361" s="5" t="inlineStr"/>
    </row>
    <row r="362">
      <c r="A362" s="13" t="inlineStr">
        <is>
          <t>00038260</t>
        </is>
      </c>
      <c r="B362" s="5" t="inlineStr">
        <is>
          <t>[00038260] LIMI FERRIN 30 TAB</t>
        </is>
      </c>
      <c r="C362" s="5" t="inlineStr">
        <is>
          <t>دواء</t>
        </is>
      </c>
      <c r="D362" s="13" t="inlineStr">
        <is>
          <t>0608028917111</t>
        </is>
      </c>
      <c r="E362" s="14">
        <f>L362-K362</f>
        <v/>
      </c>
      <c r="F362" s="14" t="n">
        <v>0</v>
      </c>
      <c r="G362" s="14">
        <f>F362-E362</f>
        <v/>
      </c>
      <c r="H362" s="7" t="n">
        <v>155</v>
      </c>
      <c r="I362" s="7">
        <f>G362*H362</f>
        <v/>
      </c>
      <c r="J362" s="16" t="inlineStr">
        <is>
          <t>لم يُجرد</t>
        </is>
      </c>
      <c r="K362" s="14" t="n">
        <v>0</v>
      </c>
      <c r="L362" s="14" t="n">
        <v>4</v>
      </c>
      <c r="M362" s="5" t="inlineStr"/>
      <c r="N362" s="5" t="inlineStr"/>
    </row>
    <row r="363">
      <c r="A363" s="13" t="inlineStr">
        <is>
          <t>00014710</t>
        </is>
      </c>
      <c r="B363" s="5" t="inlineStr">
        <is>
          <t>[00014710] PRIMA D3 50000 I.U SOFT CAP</t>
        </is>
      </c>
      <c r="C363" s="5" t="inlineStr">
        <is>
          <t>دواء</t>
        </is>
      </c>
      <c r="D363" s="13" t="inlineStr">
        <is>
          <t>010628512800377310VL</t>
        </is>
      </c>
      <c r="E363" s="14">
        <f>L363-K363</f>
        <v/>
      </c>
      <c r="F363" s="14" t="n">
        <v>0</v>
      </c>
      <c r="G363" s="14">
        <f>F363-E363</f>
        <v/>
      </c>
      <c r="H363" s="7" t="n">
        <v>96.09999999999999</v>
      </c>
      <c r="I363" s="7">
        <f>G363*H363</f>
        <v/>
      </c>
      <c r="J363" s="16" t="inlineStr">
        <is>
          <t>لم يُجرد</t>
        </is>
      </c>
      <c r="K363" s="14" t="n">
        <v>0</v>
      </c>
      <c r="L363" s="14" t="n">
        <v>4</v>
      </c>
      <c r="M363" s="5" t="inlineStr"/>
      <c r="N363" s="5" t="inlineStr"/>
    </row>
    <row r="364">
      <c r="A364" s="13" t="inlineStr">
        <is>
          <t>00026517</t>
        </is>
      </c>
      <c r="B364" s="5" t="inlineStr">
        <is>
          <t>[00026517] VICHY DERCOS KERA SOLUTIONS  MICRO FILLING 200ML 3914</t>
        </is>
      </c>
      <c r="C364" s="5" t="inlineStr">
        <is>
          <t>دواء</t>
        </is>
      </c>
      <c r="D364" s="13" t="inlineStr">
        <is>
          <t>3337875673914</t>
        </is>
      </c>
      <c r="E364" s="14">
        <f>L364-K364</f>
        <v/>
      </c>
      <c r="F364" s="14" t="n">
        <v>0</v>
      </c>
      <c r="G364" s="14">
        <f>F364-E364</f>
        <v/>
      </c>
      <c r="H364" s="7" t="n">
        <v>77</v>
      </c>
      <c r="I364" s="7">
        <f>G364*H364</f>
        <v/>
      </c>
      <c r="J364" s="16" t="inlineStr">
        <is>
          <t>لم يُجرد</t>
        </is>
      </c>
      <c r="K364" s="14" t="n">
        <v>0</v>
      </c>
      <c r="L364" s="14" t="n">
        <v>4</v>
      </c>
      <c r="M364" s="5" t="inlineStr"/>
      <c r="N364" s="5" t="inlineStr"/>
    </row>
    <row r="365">
      <c r="A365" s="13" t="inlineStr">
        <is>
          <t>00019957</t>
        </is>
      </c>
      <c r="B365" s="5" t="inlineStr">
        <is>
          <t>[00019957] LEZAL 0.5 MG SYP</t>
        </is>
      </c>
      <c r="C365" s="5" t="inlineStr">
        <is>
          <t>دواء</t>
        </is>
      </c>
      <c r="D365" s="13" t="inlineStr">
        <is>
          <t>06281086105702</t>
        </is>
      </c>
      <c r="E365" s="14">
        <f>L365-K365</f>
        <v/>
      </c>
      <c r="F365" s="14" t="n">
        <v>0</v>
      </c>
      <c r="G365" s="14">
        <f>F365-E365</f>
        <v/>
      </c>
      <c r="H365" s="7" t="n">
        <v>17.3</v>
      </c>
      <c r="I365" s="7">
        <f>G365*H365</f>
        <v/>
      </c>
      <c r="J365" s="16" t="inlineStr">
        <is>
          <t>لم يُجرد</t>
        </is>
      </c>
      <c r="K365" s="14" t="n">
        <v>0</v>
      </c>
      <c r="L365" s="14" t="n">
        <v>17</v>
      </c>
      <c r="M365" s="5" t="inlineStr"/>
      <c r="N365" s="5" t="inlineStr"/>
    </row>
    <row r="366">
      <c r="A366" s="13" t="inlineStr">
        <is>
          <t>0005304</t>
        </is>
      </c>
      <c r="B366" s="5" t="inlineStr">
        <is>
          <t>[0005304] PANTOZOL 20MG 30TAB</t>
        </is>
      </c>
      <c r="C366" s="5" t="inlineStr">
        <is>
          <t>دواء</t>
        </is>
      </c>
      <c r="D366" s="13" t="inlineStr"/>
      <c r="E366" s="14">
        <f>L366-K366</f>
        <v/>
      </c>
      <c r="F366" s="14" t="n">
        <v>0</v>
      </c>
      <c r="G366" s="14">
        <f>F366-E366</f>
        <v/>
      </c>
      <c r="H366" s="7" t="n">
        <v>54.8</v>
      </c>
      <c r="I366" s="7">
        <f>G366*H366</f>
        <v/>
      </c>
      <c r="J366" s="16" t="inlineStr">
        <is>
          <t>لم يُجرد</t>
        </is>
      </c>
      <c r="K366" s="14" t="n">
        <v>0</v>
      </c>
      <c r="L366" s="14" t="n">
        <v>6</v>
      </c>
      <c r="M366" s="5" t="inlineStr"/>
      <c r="N366" s="5" t="inlineStr"/>
    </row>
    <row r="367">
      <c r="A367" s="13" t="inlineStr">
        <is>
          <t>00023723</t>
        </is>
      </c>
      <c r="B367" s="5" t="inlineStr">
        <is>
          <t>[00023723] TALYNTA 60MG 4 TAB</t>
        </is>
      </c>
      <c r="C367" s="5" t="inlineStr">
        <is>
          <t>دواء</t>
        </is>
      </c>
      <c r="D367" s="13" t="inlineStr">
        <is>
          <t>06286001000070</t>
        </is>
      </c>
      <c r="E367" s="14">
        <f>L367-K367</f>
        <v/>
      </c>
      <c r="F367" s="14" t="n">
        <v>0</v>
      </c>
      <c r="G367" s="14">
        <f>F367-E367</f>
        <v/>
      </c>
      <c r="H367" s="7" t="n">
        <v>49</v>
      </c>
      <c r="I367" s="7">
        <f>G367*H367</f>
        <v/>
      </c>
      <c r="J367" s="16" t="inlineStr">
        <is>
          <t>لم يُجرد</t>
        </is>
      </c>
      <c r="K367" s="14" t="n">
        <v>0</v>
      </c>
      <c r="L367" s="14" t="n">
        <v>6</v>
      </c>
      <c r="M367" s="5" t="inlineStr"/>
      <c r="N367" s="5" t="inlineStr"/>
    </row>
    <row r="368">
      <c r="A368" s="13" t="inlineStr">
        <is>
          <t>0004733</t>
        </is>
      </c>
      <c r="B368" s="5" t="inlineStr">
        <is>
          <t>[0004733] SUPRAX 400MG 6CAPS</t>
        </is>
      </c>
      <c r="C368" s="5" t="inlineStr">
        <is>
          <t>دواء</t>
        </is>
      </c>
      <c r="D368" s="13" t="inlineStr">
        <is>
          <t>06285101001826</t>
        </is>
      </c>
      <c r="E368" s="14">
        <f>L368-K368</f>
        <v/>
      </c>
      <c r="F368" s="14" t="n">
        <v>0</v>
      </c>
      <c r="G368" s="14">
        <f>F368-E368</f>
        <v/>
      </c>
      <c r="H368" s="7" t="n">
        <v>72.5</v>
      </c>
      <c r="I368" s="7">
        <f>G368*H368</f>
        <v/>
      </c>
      <c r="J368" s="16" t="inlineStr">
        <is>
          <t>لم يُجرد</t>
        </is>
      </c>
      <c r="K368" s="14" t="n">
        <v>0</v>
      </c>
      <c r="L368" s="14" t="n">
        <v>4</v>
      </c>
      <c r="M368" s="5" t="inlineStr"/>
      <c r="N368" s="5" t="inlineStr"/>
    </row>
    <row r="369">
      <c r="A369" s="13" t="inlineStr">
        <is>
          <t>00015045</t>
        </is>
      </c>
      <c r="B369" s="5" t="inlineStr">
        <is>
          <t>[00015045] BROFIX 5ML DROPS</t>
        </is>
      </c>
      <c r="C369" s="5" t="inlineStr">
        <is>
          <t>دواء</t>
        </is>
      </c>
      <c r="D369" s="13" t="inlineStr">
        <is>
          <t>06285128006330</t>
        </is>
      </c>
      <c r="E369" s="14">
        <f>L369-K369</f>
        <v/>
      </c>
      <c r="F369" s="14" t="n">
        <v>0</v>
      </c>
      <c r="G369" s="14">
        <f>F369-E369</f>
        <v/>
      </c>
      <c r="H369" s="7" t="n">
        <v>58.65</v>
      </c>
      <c r="I369" s="7">
        <f>G369*H369</f>
        <v/>
      </c>
      <c r="J369" s="16" t="inlineStr">
        <is>
          <t>لم يُجرد</t>
        </is>
      </c>
      <c r="K369" s="14" t="n">
        <v>0</v>
      </c>
      <c r="L369" s="14" t="n">
        <v>5</v>
      </c>
      <c r="M369" s="5" t="inlineStr"/>
      <c r="N369" s="5" t="inlineStr"/>
    </row>
    <row r="370">
      <c r="A370" s="13" t="inlineStr">
        <is>
          <t>00038083</t>
        </is>
      </c>
      <c r="B370" s="5" t="inlineStr">
        <is>
          <t>[00038083] CONESTAL 2MG 28 TAB</t>
        </is>
      </c>
      <c r="C370" s="5" t="inlineStr">
        <is>
          <t>دواء</t>
        </is>
      </c>
      <c r="D370" s="13" t="inlineStr"/>
      <c r="E370" s="14">
        <f>L370-K370</f>
        <v/>
      </c>
      <c r="F370" s="14" t="n">
        <v>0</v>
      </c>
      <c r="G370" s="14">
        <f>F370-E370</f>
        <v/>
      </c>
      <c r="H370" s="7" t="n">
        <v>140.2</v>
      </c>
      <c r="I370" s="7">
        <f>G370*H370</f>
        <v/>
      </c>
      <c r="J370" s="16" t="inlineStr">
        <is>
          <t>لم يُجرد</t>
        </is>
      </c>
      <c r="K370" s="14" t="n">
        <v>0</v>
      </c>
      <c r="L370" s="14" t="n">
        <v>2</v>
      </c>
      <c r="M370" s="5" t="inlineStr"/>
      <c r="N370" s="5" t="inlineStr"/>
    </row>
    <row r="371">
      <c r="A371" s="13" t="inlineStr">
        <is>
          <t>0004616</t>
        </is>
      </c>
      <c r="B371" s="5" t="inlineStr">
        <is>
          <t>[0004616] VIGAMOX 05 EYE DROPS</t>
        </is>
      </c>
      <c r="C371" s="5" t="inlineStr">
        <is>
          <t>دواء</t>
        </is>
      </c>
      <c r="D371" s="13" t="inlineStr">
        <is>
          <t>01003006540134642100</t>
        </is>
      </c>
      <c r="E371" s="14">
        <f>L371-K371</f>
        <v/>
      </c>
      <c r="F371" s="14" t="n">
        <v>0</v>
      </c>
      <c r="G371" s="14">
        <f>F371-E371</f>
        <v/>
      </c>
      <c r="H371" s="7" t="n">
        <v>26.6</v>
      </c>
      <c r="I371" s="7">
        <f>G371*H371</f>
        <v/>
      </c>
      <c r="J371" s="16" t="inlineStr">
        <is>
          <t>لم يُجرد</t>
        </is>
      </c>
      <c r="K371" s="14" t="n">
        <v>0</v>
      </c>
      <c r="L371" s="14" t="n">
        <v>11</v>
      </c>
      <c r="M371" s="5" t="inlineStr"/>
      <c r="N371" s="5" t="inlineStr"/>
    </row>
    <row r="372">
      <c r="A372" s="13" t="inlineStr">
        <is>
          <t>00024988</t>
        </is>
      </c>
      <c r="B372" s="5" t="inlineStr">
        <is>
          <t>[00024988] AKLIEF CREAM 50MCG/ 75G SA</t>
        </is>
      </c>
      <c r="C372" s="5" t="inlineStr">
        <is>
          <t>دواء</t>
        </is>
      </c>
      <c r="D372" s="13" t="inlineStr">
        <is>
          <t>03499320012317</t>
        </is>
      </c>
      <c r="E372" s="14">
        <f>L372-K372</f>
        <v/>
      </c>
      <c r="F372" s="14" t="n">
        <v>0</v>
      </c>
      <c r="G372" s="14">
        <f>F372-E372</f>
        <v/>
      </c>
      <c r="H372" s="7" t="n">
        <v>139.8</v>
      </c>
      <c r="I372" s="7">
        <f>G372*H372</f>
        <v/>
      </c>
      <c r="J372" s="16" t="inlineStr">
        <is>
          <t>لم يُجرد</t>
        </is>
      </c>
      <c r="K372" s="14" t="n">
        <v>0</v>
      </c>
      <c r="L372" s="14" t="n">
        <v>2</v>
      </c>
      <c r="M372" s="5" t="inlineStr"/>
      <c r="N372" s="5" t="inlineStr"/>
    </row>
    <row r="373">
      <c r="A373" s="13" t="inlineStr">
        <is>
          <t>00018942</t>
        </is>
      </c>
      <c r="B373" s="5" t="inlineStr">
        <is>
          <t>[00018942] VICKS VAPODROPS16 BERRY MENTHOL 16 LOG</t>
        </is>
      </c>
      <c r="C373" s="5" t="inlineStr">
        <is>
          <t>دواء</t>
        </is>
      </c>
      <c r="D373" s="13" t="inlineStr">
        <is>
          <t>8001841460253</t>
        </is>
      </c>
      <c r="E373" s="14">
        <f>L373-K373</f>
        <v/>
      </c>
      <c r="F373" s="14" t="n">
        <v>0</v>
      </c>
      <c r="G373" s="14">
        <f>F373-E373</f>
        <v/>
      </c>
      <c r="H373" s="7" t="n">
        <v>30.5</v>
      </c>
      <c r="I373" s="7">
        <f>G373*H373</f>
        <v/>
      </c>
      <c r="J373" s="16" t="inlineStr">
        <is>
          <t>لم يُجرد</t>
        </is>
      </c>
      <c r="K373" s="14" t="n">
        <v>0</v>
      </c>
      <c r="L373" s="14" t="n">
        <v>12</v>
      </c>
      <c r="M373" s="5" t="inlineStr"/>
      <c r="N373" s="5" t="inlineStr"/>
    </row>
    <row r="374">
      <c r="A374" s="13" t="inlineStr">
        <is>
          <t>0003688</t>
        </is>
      </c>
      <c r="B374" s="5" t="inlineStr">
        <is>
          <t>[0003688] AMYDRAMINE EXPECTORANT SYRUP 120ML</t>
        </is>
      </c>
      <c r="C374" s="5" t="inlineStr">
        <is>
          <t>دواء</t>
        </is>
      </c>
      <c r="D374" s="13" t="inlineStr">
        <is>
          <t>06291100082285</t>
        </is>
      </c>
      <c r="E374" s="14">
        <f>L374-K374</f>
        <v/>
      </c>
      <c r="F374" s="14" t="n">
        <v>0</v>
      </c>
      <c r="G374" s="14">
        <f>F374-E374</f>
        <v/>
      </c>
      <c r="H374" s="7" t="n">
        <v>8.300000000000001</v>
      </c>
      <c r="I374" s="7">
        <f>G374*H374</f>
        <v/>
      </c>
      <c r="J374" s="16" t="inlineStr">
        <is>
          <t>لم يُجرد</t>
        </is>
      </c>
      <c r="K374" s="14" t="n">
        <v>0</v>
      </c>
      <c r="L374" s="14" t="n">
        <v>35</v>
      </c>
      <c r="M374" s="5" t="inlineStr"/>
      <c r="N374" s="5" t="inlineStr"/>
    </row>
    <row r="375">
      <c r="A375" s="13" t="inlineStr">
        <is>
          <t>0003575</t>
        </is>
      </c>
      <c r="B375" s="5" t="inlineStr">
        <is>
          <t>[0003575] GLIM 2MG 30 TAB</t>
        </is>
      </c>
      <c r="C375" s="5" t="inlineStr">
        <is>
          <t>دواء</t>
        </is>
      </c>
      <c r="D375" s="13" t="inlineStr">
        <is>
          <t>06281086012338</t>
        </is>
      </c>
      <c r="E375" s="14">
        <f>L375-K375</f>
        <v/>
      </c>
      <c r="F375" s="14" t="n">
        <v>0</v>
      </c>
      <c r="G375" s="14">
        <f>F375-E375</f>
        <v/>
      </c>
      <c r="H375" s="7" t="n">
        <v>32.2</v>
      </c>
      <c r="I375" s="7">
        <f>G375*H375</f>
        <v/>
      </c>
      <c r="J375" s="16" t="inlineStr">
        <is>
          <t>لم يُجرد</t>
        </is>
      </c>
      <c r="K375" s="14" t="n">
        <v>0</v>
      </c>
      <c r="L375" s="14" t="n">
        <v>9</v>
      </c>
      <c r="M375" s="5" t="inlineStr"/>
      <c r="N375" s="5" t="inlineStr"/>
    </row>
    <row r="376">
      <c r="A376" s="13" t="inlineStr">
        <is>
          <t>00025938</t>
        </is>
      </c>
      <c r="B376" s="5" t="inlineStr">
        <is>
          <t>[00025938] APPLE CIDER VINEGAR  MOTHERNEST CANDY</t>
        </is>
      </c>
      <c r="C376" s="5" t="inlineStr">
        <is>
          <t>دواء</t>
        </is>
      </c>
      <c r="D376" s="13" t="inlineStr">
        <is>
          <t>9327155007632</t>
        </is>
      </c>
      <c r="E376" s="14">
        <f>L376-K376</f>
        <v/>
      </c>
      <c r="F376" s="14" t="n">
        <v>0</v>
      </c>
      <c r="G376" s="14">
        <f>F376-E376</f>
        <v/>
      </c>
      <c r="H376" s="7" t="n">
        <v>105</v>
      </c>
      <c r="I376" s="7">
        <f>G376*H376</f>
        <v/>
      </c>
      <c r="J376" s="16" t="inlineStr">
        <is>
          <t>لم يُجرد</t>
        </is>
      </c>
      <c r="K376" s="14" t="n">
        <v>0</v>
      </c>
      <c r="L376" s="14" t="n">
        <v>4</v>
      </c>
      <c r="M376" s="5" t="inlineStr"/>
      <c r="N376" s="5" t="inlineStr"/>
    </row>
    <row r="377">
      <c r="A377" s="13" t="inlineStr">
        <is>
          <t>00048020</t>
        </is>
      </c>
      <c r="B377" s="5" t="inlineStr">
        <is>
          <t>[00048020] FRESHVUE MOISTURIZING EYE DROPS</t>
        </is>
      </c>
      <c r="C377" s="5" t="inlineStr">
        <is>
          <t>دواء</t>
        </is>
      </c>
      <c r="D377" s="13" t="inlineStr">
        <is>
          <t>08057729510657</t>
        </is>
      </c>
      <c r="E377" s="14">
        <f>L377-K377</f>
        <v/>
      </c>
      <c r="F377" s="14" t="n">
        <v>0</v>
      </c>
      <c r="G377" s="14">
        <f>F377-E377</f>
        <v/>
      </c>
      <c r="H377" s="7" t="n">
        <v>69</v>
      </c>
      <c r="I377" s="7">
        <f>G377*H377</f>
        <v/>
      </c>
      <c r="J377" s="16" t="inlineStr">
        <is>
          <t>لم يُجرد</t>
        </is>
      </c>
      <c r="K377" s="14" t="n">
        <v>0</v>
      </c>
      <c r="L377" s="14" t="n">
        <v>4</v>
      </c>
      <c r="M377" s="5" t="inlineStr"/>
      <c r="N377" s="5" t="inlineStr"/>
    </row>
    <row r="378">
      <c r="A378" s="13" t="inlineStr">
        <is>
          <t>00020483</t>
        </is>
      </c>
      <c r="B378" s="5" t="inlineStr">
        <is>
          <t>[00020483] REXOFIL 5 MG 30TAB WASFA</t>
        </is>
      </c>
      <c r="C378" s="5" t="inlineStr">
        <is>
          <t>دواء</t>
        </is>
      </c>
      <c r="D378" s="13" t="inlineStr"/>
      <c r="E378" s="14">
        <f>L378-K378</f>
        <v/>
      </c>
      <c r="F378" s="14" t="n">
        <v>0</v>
      </c>
      <c r="G378" s="14">
        <f>F378-E378</f>
        <v/>
      </c>
      <c r="H378" s="7" t="n">
        <v>136.15</v>
      </c>
      <c r="I378" s="7">
        <f>G378*H378</f>
        <v/>
      </c>
      <c r="J378" s="16" t="inlineStr">
        <is>
          <t>لم يُجرد</t>
        </is>
      </c>
      <c r="K378" s="14" t="n">
        <v>0</v>
      </c>
      <c r="L378" s="14" t="n">
        <v>4.65</v>
      </c>
      <c r="M378" s="5" t="inlineStr"/>
      <c r="N378" s="5" t="inlineStr"/>
    </row>
    <row r="379">
      <c r="A379" s="13" t="inlineStr">
        <is>
          <t>00037831</t>
        </is>
      </c>
      <c r="B379" s="5" t="inlineStr">
        <is>
          <t>[00037831] MAW OMEGA D3 PLUS 60 CAP</t>
        </is>
      </c>
      <c r="C379" s="5" t="inlineStr">
        <is>
          <t>دواء</t>
        </is>
      </c>
      <c r="D379" s="13" t="inlineStr">
        <is>
          <t>6286709000167</t>
        </is>
      </c>
      <c r="E379" s="14">
        <f>L379-K379</f>
        <v/>
      </c>
      <c r="F379" s="14" t="n">
        <v>0</v>
      </c>
      <c r="G379" s="14">
        <f>F379-E379</f>
        <v/>
      </c>
      <c r="H379" s="7" t="n">
        <v>199.13</v>
      </c>
      <c r="I379" s="7">
        <f>G379*H379</f>
        <v/>
      </c>
      <c r="J379" s="16" t="inlineStr">
        <is>
          <t>لم يُجرد</t>
        </is>
      </c>
      <c r="K379" s="14" t="n">
        <v>0</v>
      </c>
      <c r="L379" s="14" t="n">
        <v>3</v>
      </c>
      <c r="M379" s="5" t="inlineStr"/>
      <c r="N379" s="5" t="inlineStr"/>
    </row>
    <row r="380">
      <c r="A380" s="13" t="inlineStr">
        <is>
          <t>00021689</t>
        </is>
      </c>
      <c r="B380" s="5" t="inlineStr">
        <is>
          <t>[00021689] JP CRANBERRY 144MG 60 CAP</t>
        </is>
      </c>
      <c r="C380" s="5" t="inlineStr">
        <is>
          <t>دواء</t>
        </is>
      </c>
      <c r="D380" s="13" t="inlineStr"/>
      <c r="E380" s="14">
        <f>L380-K380</f>
        <v/>
      </c>
      <c r="F380" s="14" t="n">
        <v>0</v>
      </c>
      <c r="G380" s="14">
        <f>F380-E380</f>
        <v/>
      </c>
      <c r="H380" s="7" t="n">
        <v>70</v>
      </c>
      <c r="I380" s="7">
        <f>G380*H380</f>
        <v/>
      </c>
      <c r="J380" s="16" t="inlineStr">
        <is>
          <t>لم يُجرد</t>
        </is>
      </c>
      <c r="K380" s="14" t="n">
        <v>0</v>
      </c>
      <c r="L380" s="14" t="n">
        <v>4</v>
      </c>
      <c r="M380" s="5" t="inlineStr"/>
      <c r="N380" s="5" t="inlineStr"/>
    </row>
    <row r="381">
      <c r="A381" s="13" t="inlineStr">
        <is>
          <t>0004766</t>
        </is>
      </c>
      <c r="B381" s="5" t="inlineStr">
        <is>
          <t>[0004766] TEGRETOL 200MG CR 50TAB</t>
        </is>
      </c>
      <c r="C381" s="5" t="inlineStr">
        <is>
          <t>دواء</t>
        </is>
      </c>
      <c r="D381" s="13" t="inlineStr">
        <is>
          <t>010761279101615810tj</t>
        </is>
      </c>
      <c r="E381" s="14">
        <f>L381-K381</f>
        <v/>
      </c>
      <c r="F381" s="14" t="n">
        <v>0</v>
      </c>
      <c r="G381" s="14">
        <f>F381-E381</f>
        <v/>
      </c>
      <c r="H381" s="7" t="n">
        <v>40.75</v>
      </c>
      <c r="I381" s="7">
        <f>G381*H381</f>
        <v/>
      </c>
      <c r="J381" s="16" t="inlineStr">
        <is>
          <t>لم يُجرد</t>
        </is>
      </c>
      <c r="K381" s="14" t="n">
        <v>0</v>
      </c>
      <c r="L381" s="14" t="n">
        <v>7</v>
      </c>
      <c r="M381" s="5" t="inlineStr"/>
      <c r="N381" s="5" t="inlineStr"/>
    </row>
    <row r="382">
      <c r="A382" s="13" t="inlineStr">
        <is>
          <t>00044435</t>
        </is>
      </c>
      <c r="B382" s="5" t="inlineStr">
        <is>
          <t>[00044435] AVALON AVIALIS 5 MG 28 TAB</t>
        </is>
      </c>
      <c r="C382" s="5" t="inlineStr">
        <is>
          <t>دواء</t>
        </is>
      </c>
      <c r="D382" s="13" t="inlineStr">
        <is>
          <t>06285095008719</t>
        </is>
      </c>
      <c r="E382" s="14">
        <f>L382-K382</f>
        <v/>
      </c>
      <c r="F382" s="14" t="n">
        <v>0</v>
      </c>
      <c r="G382" s="14">
        <f>F382-E382</f>
        <v/>
      </c>
      <c r="H382" s="7" t="n">
        <v>136.15</v>
      </c>
      <c r="I382" s="7">
        <f>G382*H382</f>
        <v/>
      </c>
      <c r="J382" s="16" t="inlineStr">
        <is>
          <t>لم يُجرد</t>
        </is>
      </c>
      <c r="K382" s="14" t="n">
        <v>0</v>
      </c>
      <c r="L382" s="14" t="n">
        <v>2</v>
      </c>
      <c r="M382" s="5" t="inlineStr"/>
      <c r="N382" s="5" t="inlineStr"/>
    </row>
    <row r="383">
      <c r="A383" s="13" t="inlineStr">
        <is>
          <t>00049009</t>
        </is>
      </c>
      <c r="B383" s="5" t="inlineStr">
        <is>
          <t>[00049009] TANDO 5MG 30TABLETS</t>
        </is>
      </c>
      <c r="C383" s="5" t="inlineStr">
        <is>
          <t>دواء</t>
        </is>
      </c>
      <c r="D383" s="13" t="inlineStr">
        <is>
          <t>06285094000837</t>
        </is>
      </c>
      <c r="E383" s="14">
        <f>L383-K383</f>
        <v/>
      </c>
      <c r="F383" s="14" t="n">
        <v>0</v>
      </c>
      <c r="G383" s="14">
        <f>F383-E383</f>
        <v/>
      </c>
      <c r="H383" s="7" t="n">
        <v>136.15</v>
      </c>
      <c r="I383" s="7">
        <f>G383*H383</f>
        <v/>
      </c>
      <c r="J383" s="16" t="inlineStr">
        <is>
          <t>لم يُجرد</t>
        </is>
      </c>
      <c r="K383" s="14" t="n">
        <v>0</v>
      </c>
      <c r="L383" s="14" t="n">
        <v>2</v>
      </c>
      <c r="M383" s="5" t="inlineStr"/>
      <c r="N383" s="5" t="inlineStr"/>
    </row>
    <row r="384">
      <c r="A384" s="13" t="inlineStr">
        <is>
          <t>00028039</t>
        </is>
      </c>
      <c r="B384" s="5" t="inlineStr">
        <is>
          <t>[00028039] DAPXIGA 10MG 30TAB</t>
        </is>
      </c>
      <c r="C384" s="5" t="inlineStr">
        <is>
          <t>دواء</t>
        </is>
      </c>
      <c r="D384" s="13" t="inlineStr">
        <is>
          <t>06286434000852</t>
        </is>
      </c>
      <c r="E384" s="14">
        <f>L384-K384</f>
        <v/>
      </c>
      <c r="F384" s="14" t="n">
        <v>0</v>
      </c>
      <c r="G384" s="14">
        <f>F384-E384</f>
        <v/>
      </c>
      <c r="H384" s="7" t="n">
        <v>135.95</v>
      </c>
      <c r="I384" s="7">
        <f>G384*H384</f>
        <v/>
      </c>
      <c r="J384" s="16" t="inlineStr">
        <is>
          <t>لم يُجرد</t>
        </is>
      </c>
      <c r="K384" s="14" t="n">
        <v>0</v>
      </c>
      <c r="L384" s="14" t="n">
        <v>2</v>
      </c>
      <c r="M384" s="5" t="inlineStr"/>
      <c r="N384" s="5" t="inlineStr"/>
    </row>
    <row r="385">
      <c r="A385" s="13" t="inlineStr">
        <is>
          <t>00012887</t>
        </is>
      </c>
      <c r="B385" s="5" t="inlineStr">
        <is>
          <t>[00012887] DRAMYLIN PEDIA SYP</t>
        </is>
      </c>
      <c r="C385" s="5" t="inlineStr">
        <is>
          <t>دواء</t>
        </is>
      </c>
      <c r="D385" s="13" t="inlineStr">
        <is>
          <t>01062850850001671721</t>
        </is>
      </c>
      <c r="E385" s="14">
        <f>L385-K385</f>
        <v/>
      </c>
      <c r="F385" s="14" t="n">
        <v>0</v>
      </c>
      <c r="G385" s="14">
        <f>F385-E385</f>
        <v/>
      </c>
      <c r="H385" s="7" t="n">
        <v>7</v>
      </c>
      <c r="I385" s="7">
        <f>G385*H385</f>
        <v/>
      </c>
      <c r="J385" s="16" t="inlineStr">
        <is>
          <t>لم يُجرد</t>
        </is>
      </c>
      <c r="K385" s="14" t="n">
        <v>0</v>
      </c>
      <c r="L385" s="14" t="n">
        <v>43</v>
      </c>
      <c r="M385" s="5" t="inlineStr"/>
      <c r="N385" s="5" t="inlineStr"/>
    </row>
    <row r="386">
      <c r="A386" s="13" t="inlineStr">
        <is>
          <t>00038422</t>
        </is>
      </c>
      <c r="B386" s="5" t="inlineStr">
        <is>
          <t>[00038422] FILORGA  UV-BRONZE5761 50+ 40ML</t>
        </is>
      </c>
      <c r="C386" s="5" t="inlineStr">
        <is>
          <t>دواء</t>
        </is>
      </c>
      <c r="D386" s="13" t="inlineStr">
        <is>
          <t>3401360245761</t>
        </is>
      </c>
      <c r="E386" s="14">
        <f>L386-K386</f>
        <v/>
      </c>
      <c r="F386" s="14" t="n">
        <v>0</v>
      </c>
      <c r="G386" s="14">
        <f>F386-E386</f>
        <v/>
      </c>
      <c r="H386" s="7" t="n">
        <v>147</v>
      </c>
      <c r="I386" s="7">
        <f>G386*H386</f>
        <v/>
      </c>
      <c r="J386" s="16" t="inlineStr">
        <is>
          <t>لم يُجرد</t>
        </is>
      </c>
      <c r="K386" s="14" t="n">
        <v>0</v>
      </c>
      <c r="L386" s="14" t="n">
        <v>2</v>
      </c>
      <c r="M386" s="5" t="inlineStr"/>
      <c r="N386" s="5" t="inlineStr"/>
    </row>
    <row r="387">
      <c r="A387" s="13" t="inlineStr">
        <is>
          <t>00027817</t>
        </is>
      </c>
      <c r="B387" s="5" t="inlineStr">
        <is>
          <t>[00027817] ENDOSA INJ 60MG AMP</t>
        </is>
      </c>
      <c r="C387" s="5" t="inlineStr">
        <is>
          <t>دواء</t>
        </is>
      </c>
      <c r="D387" s="13" t="inlineStr">
        <is>
          <t>06281086104255</t>
        </is>
      </c>
      <c r="E387" s="14">
        <f>L387-K387</f>
        <v/>
      </c>
      <c r="F387" s="14" t="n">
        <v>0</v>
      </c>
      <c r="G387" s="14">
        <f>F387-E387</f>
        <v/>
      </c>
      <c r="H387" s="7" t="n">
        <v>47</v>
      </c>
      <c r="I387" s="7">
        <f>G387*H387</f>
        <v/>
      </c>
      <c r="J387" s="16" t="inlineStr">
        <is>
          <t>لم يُجرد</t>
        </is>
      </c>
      <c r="K387" s="14" t="n">
        <v>0</v>
      </c>
      <c r="L387" s="14" t="n">
        <v>6</v>
      </c>
      <c r="M387" s="5" t="inlineStr"/>
      <c r="N387" s="5" t="inlineStr"/>
    </row>
    <row r="388">
      <c r="A388" s="13" t="inlineStr">
        <is>
          <t>00036937</t>
        </is>
      </c>
      <c r="B388" s="5" t="inlineStr">
        <is>
          <t>[00036937] ZINCOVIT 60ML DROPS JR.PH</t>
        </is>
      </c>
      <c r="C388" s="5" t="inlineStr">
        <is>
          <t>دواء</t>
        </is>
      </c>
      <c r="D388" s="13" t="inlineStr">
        <is>
          <t>795697003358</t>
        </is>
      </c>
      <c r="E388" s="14">
        <f>L388-K388</f>
        <v/>
      </c>
      <c r="F388" s="14" t="n">
        <v>0</v>
      </c>
      <c r="G388" s="14">
        <f>F388-E388</f>
        <v/>
      </c>
      <c r="H388" s="7" t="n">
        <v>78</v>
      </c>
      <c r="I388" s="7">
        <f>G388*H388</f>
        <v/>
      </c>
      <c r="J388" s="16" t="inlineStr">
        <is>
          <t>لم يُجرد</t>
        </is>
      </c>
      <c r="K388" s="14" t="n">
        <v>0</v>
      </c>
      <c r="L388" s="14" t="n">
        <v>3</v>
      </c>
      <c r="M388" s="5" t="inlineStr"/>
      <c r="N388" s="5" t="inlineStr"/>
    </row>
    <row r="389">
      <c r="A389" s="13" t="inlineStr">
        <is>
          <t>00037911</t>
        </is>
      </c>
      <c r="B389" s="5" t="inlineStr">
        <is>
          <t>[00037911] APISAL JET106BABY NS 30ML</t>
        </is>
      </c>
      <c r="C389" s="5" t="inlineStr">
        <is>
          <t>دواء</t>
        </is>
      </c>
      <c r="D389" s="13" t="inlineStr">
        <is>
          <t>6251151002106</t>
        </is>
      </c>
      <c r="E389" s="14">
        <f>L389-K389</f>
        <v/>
      </c>
      <c r="F389" s="14" t="n">
        <v>0</v>
      </c>
      <c r="G389" s="14">
        <f>F389-E389</f>
        <v/>
      </c>
      <c r="H389" s="7" t="n">
        <v>35</v>
      </c>
      <c r="I389" s="7">
        <f>G389*H389</f>
        <v/>
      </c>
      <c r="J389" s="16" t="inlineStr">
        <is>
          <t>لم يُجرد</t>
        </is>
      </c>
      <c r="K389" s="14" t="n">
        <v>0</v>
      </c>
      <c r="L389" s="14" t="n">
        <v>8</v>
      </c>
      <c r="M389" s="5" t="inlineStr"/>
      <c r="N389" s="5" t="inlineStr"/>
    </row>
    <row r="390">
      <c r="A390" s="13" t="inlineStr">
        <is>
          <t>0004797</t>
        </is>
      </c>
      <c r="B390" s="5" t="inlineStr">
        <is>
          <t>[0004797] TOBREX EYE DROPS 5 ML</t>
        </is>
      </c>
      <c r="C390" s="5" t="inlineStr">
        <is>
          <t>دواء</t>
        </is>
      </c>
      <c r="D390" s="13" t="inlineStr"/>
      <c r="E390" s="14">
        <f>L390-K390</f>
        <v/>
      </c>
      <c r="F390" s="14" t="n">
        <v>0</v>
      </c>
      <c r="G390" s="14">
        <f>F390-E390</f>
        <v/>
      </c>
      <c r="H390" s="7" t="n">
        <v>20</v>
      </c>
      <c r="I390" s="7">
        <f>G390*H390</f>
        <v/>
      </c>
      <c r="J390" s="16" t="inlineStr">
        <is>
          <t>لم يُجرد</t>
        </is>
      </c>
      <c r="K390" s="14" t="n">
        <v>0</v>
      </c>
      <c r="L390" s="14" t="n">
        <v>14</v>
      </c>
      <c r="M390" s="5" t="inlineStr"/>
      <c r="N390" s="5" t="inlineStr"/>
    </row>
    <row r="391">
      <c r="A391" s="13" t="inlineStr">
        <is>
          <t>0005029</t>
        </is>
      </c>
      <c r="B391" s="5" t="inlineStr">
        <is>
          <t>[0005029] SS MAXEPA FORT 30CAP</t>
        </is>
      </c>
      <c r="C391" s="5" t="inlineStr">
        <is>
          <t>دواء</t>
        </is>
      </c>
      <c r="D391" s="13" t="inlineStr">
        <is>
          <t>8001841837192</t>
        </is>
      </c>
      <c r="E391" s="14">
        <f>L391-K391</f>
        <v/>
      </c>
      <c r="F391" s="14" t="n">
        <v>0</v>
      </c>
      <c r="G391" s="14">
        <f>F391-E391</f>
        <v/>
      </c>
      <c r="H391" s="7" t="n">
        <v>133.1</v>
      </c>
      <c r="I391" s="7">
        <f>G391*H391</f>
        <v/>
      </c>
      <c r="J391" s="16" t="inlineStr">
        <is>
          <t>لم يُجرد</t>
        </is>
      </c>
      <c r="K391" s="14" t="n">
        <v>0</v>
      </c>
      <c r="L391" s="14" t="n">
        <v>2</v>
      </c>
      <c r="M391" s="5" t="inlineStr"/>
      <c r="N391" s="5" t="inlineStr"/>
    </row>
    <row r="392">
      <c r="A392" s="13" t="inlineStr">
        <is>
          <t>00030166</t>
        </is>
      </c>
      <c r="B392" s="5" t="inlineStr">
        <is>
          <t>[00030166] كاندريل شوكلاتة بالحليب مع الحبوب المقرمشة بدون سكر 00174</t>
        </is>
      </c>
      <c r="C392" s="5" t="inlineStr">
        <is>
          <t>دواء</t>
        </is>
      </c>
      <c r="D392" s="13" t="inlineStr">
        <is>
          <t>7630486400174</t>
        </is>
      </c>
      <c r="E392" s="14">
        <f>L392-K392</f>
        <v/>
      </c>
      <c r="F392" s="14" t="n">
        <v>0</v>
      </c>
      <c r="G392" s="14">
        <f>F392-E392</f>
        <v/>
      </c>
      <c r="H392" s="7" t="n">
        <v>17.3</v>
      </c>
      <c r="I392" s="7">
        <f>G392*H392</f>
        <v/>
      </c>
      <c r="J392" s="16" t="inlineStr">
        <is>
          <t>لم يُجرد</t>
        </is>
      </c>
      <c r="K392" s="14" t="n">
        <v>0</v>
      </c>
      <c r="L392" s="14" t="n">
        <v>16</v>
      </c>
      <c r="M392" s="5" t="inlineStr"/>
      <c r="N392" s="5" t="inlineStr"/>
    </row>
    <row r="393">
      <c r="A393" s="13" t="inlineStr">
        <is>
          <t>00023107</t>
        </is>
      </c>
      <c r="B393" s="5" t="inlineStr">
        <is>
          <t>[00023107] VIOTOPIC 0.1 % OINT 30GM</t>
        </is>
      </c>
      <c r="C393" s="5" t="inlineStr">
        <is>
          <t>دواء</t>
        </is>
      </c>
      <c r="D393" s="13" t="inlineStr"/>
      <c r="E393" s="14">
        <f>L393-K393</f>
        <v/>
      </c>
      <c r="F393" s="14" t="n">
        <v>0</v>
      </c>
      <c r="G393" s="14">
        <f>F393-E393</f>
        <v/>
      </c>
      <c r="H393" s="7" t="n">
        <v>88.2</v>
      </c>
      <c r="I393" s="7">
        <f>G393*H393</f>
        <v/>
      </c>
      <c r="J393" s="16" t="inlineStr">
        <is>
          <t>لم يُجرد</t>
        </is>
      </c>
      <c r="K393" s="14" t="n">
        <v>0</v>
      </c>
      <c r="L393" s="14" t="n">
        <v>3</v>
      </c>
      <c r="M393" s="5" t="inlineStr"/>
      <c r="N393" s="5" t="inlineStr"/>
    </row>
    <row r="394">
      <c r="A394" s="13" t="inlineStr">
        <is>
          <t>0004496</t>
        </is>
      </c>
      <c r="B394" s="5" t="inlineStr">
        <is>
          <t>[0004496] BEFOLVIT 1MG 30 TAB</t>
        </is>
      </c>
      <c r="C394" s="5" t="inlineStr">
        <is>
          <t>دواء</t>
        </is>
      </c>
      <c r="D394" s="13" t="inlineStr">
        <is>
          <t>06285085002284</t>
        </is>
      </c>
      <c r="E394" s="14">
        <f>L394-K394</f>
        <v/>
      </c>
      <c r="F394" s="14" t="n">
        <v>0</v>
      </c>
      <c r="G394" s="14">
        <f>F394-E394</f>
        <v/>
      </c>
      <c r="H394" s="7" t="n">
        <v>9.199999999999999</v>
      </c>
      <c r="I394" s="7">
        <f>G394*H394</f>
        <v/>
      </c>
      <c r="J394" s="16" t="inlineStr">
        <is>
          <t>لم يُجرد</t>
        </is>
      </c>
      <c r="K394" s="14" t="n">
        <v>0</v>
      </c>
      <c r="L394" s="14" t="n">
        <v>30</v>
      </c>
      <c r="M394" s="5" t="inlineStr"/>
      <c r="N394" s="5" t="inlineStr"/>
    </row>
    <row r="395">
      <c r="A395" s="13" t="inlineStr">
        <is>
          <t>0005042</t>
        </is>
      </c>
      <c r="B395" s="5" t="inlineStr">
        <is>
          <t>[0005042] RISEK 20MG 14 CAPS</t>
        </is>
      </c>
      <c r="C395" s="5" t="inlineStr">
        <is>
          <t>دواء</t>
        </is>
      </c>
      <c r="D395" s="13" t="inlineStr">
        <is>
          <t>01062911000801751720</t>
        </is>
      </c>
      <c r="E395" s="14">
        <f>L395-K395</f>
        <v/>
      </c>
      <c r="F395" s="14" t="n">
        <v>0</v>
      </c>
      <c r="G395" s="14">
        <f>F395-E395</f>
        <v/>
      </c>
      <c r="H395" s="7" t="n">
        <v>45.95</v>
      </c>
      <c r="I395" s="7">
        <f>G395*H395</f>
        <v/>
      </c>
      <c r="J395" s="16" t="inlineStr">
        <is>
          <t>لم يُجرد</t>
        </is>
      </c>
      <c r="K395" s="14" t="n">
        <v>0</v>
      </c>
      <c r="L395" s="14" t="n">
        <v>6</v>
      </c>
      <c r="M395" s="5" t="inlineStr"/>
      <c r="N395" s="5" t="inlineStr"/>
    </row>
    <row r="396">
      <c r="A396" s="13" t="inlineStr">
        <is>
          <t>00029000</t>
        </is>
      </c>
      <c r="B396" s="5" t="inlineStr">
        <is>
          <t>[00029000] THIOTACID 600MG 30TAB</t>
        </is>
      </c>
      <c r="C396" s="5" t="inlineStr">
        <is>
          <t>دواء</t>
        </is>
      </c>
      <c r="D396" s="13" t="inlineStr">
        <is>
          <t>6287052610294</t>
        </is>
      </c>
      <c r="E396" s="14">
        <f>L396-K396</f>
        <v/>
      </c>
      <c r="F396" s="14" t="n">
        <v>0</v>
      </c>
      <c r="G396" s="14">
        <f>F396-E396</f>
        <v/>
      </c>
      <c r="H396" s="7" t="n">
        <v>135</v>
      </c>
      <c r="I396" s="7">
        <f>G396*H396</f>
        <v/>
      </c>
      <c r="J396" s="16" t="inlineStr">
        <is>
          <t>لم يُجرد</t>
        </is>
      </c>
      <c r="K396" s="14" t="n">
        <v>0</v>
      </c>
      <c r="L396" s="14" t="n">
        <v>2</v>
      </c>
      <c r="M396" s="5" t="inlineStr"/>
      <c r="N396" s="5" t="inlineStr"/>
    </row>
    <row r="397">
      <c r="A397" s="13" t="inlineStr">
        <is>
          <t>0005383</t>
        </is>
      </c>
      <c r="B397" s="5" t="inlineStr">
        <is>
          <t>[0005383] OXIMAL 7.5MG TAB</t>
        </is>
      </c>
      <c r="C397" s="5" t="inlineStr">
        <is>
          <t>دواء</t>
        </is>
      </c>
      <c r="D397" s="13" t="inlineStr">
        <is>
          <t>06251154071024</t>
        </is>
      </c>
      <c r="E397" s="14">
        <f>L397-K397</f>
        <v/>
      </c>
      <c r="F397" s="14" t="n">
        <v>0</v>
      </c>
      <c r="G397" s="14">
        <f>F397-E397</f>
        <v/>
      </c>
      <c r="H397" s="7" t="n">
        <v>19.65</v>
      </c>
      <c r="I397" s="7">
        <f>G397*H397</f>
        <v/>
      </c>
      <c r="J397" s="16" t="inlineStr">
        <is>
          <t>لم يُجرد</t>
        </is>
      </c>
      <c r="K397" s="14" t="n">
        <v>0</v>
      </c>
      <c r="L397" s="14" t="n">
        <v>14</v>
      </c>
      <c r="M397" s="5" t="inlineStr"/>
      <c r="N397" s="5" t="inlineStr"/>
    </row>
    <row r="398">
      <c r="A398" s="13" t="inlineStr">
        <is>
          <t>0005807</t>
        </is>
      </c>
      <c r="B398" s="5" t="inlineStr">
        <is>
          <t>[0005807] LORINASE SYRUP 100 ML</t>
        </is>
      </c>
      <c r="C398" s="5" t="inlineStr">
        <is>
          <t>دواء</t>
        </is>
      </c>
      <c r="D398" s="13" t="inlineStr">
        <is>
          <t>06281086011980</t>
        </is>
      </c>
      <c r="E398" s="14">
        <f>L398-K398</f>
        <v/>
      </c>
      <c r="F398" s="14" t="n">
        <v>0</v>
      </c>
      <c r="G398" s="14">
        <f>F398-E398</f>
        <v/>
      </c>
      <c r="H398" s="7" t="n">
        <v>22.9</v>
      </c>
      <c r="I398" s="7">
        <f>G398*H398</f>
        <v/>
      </c>
      <c r="J398" s="16" t="inlineStr">
        <is>
          <t>لم يُجرد</t>
        </is>
      </c>
      <c r="K398" s="14" t="n">
        <v>0</v>
      </c>
      <c r="L398" s="14" t="n">
        <v>12</v>
      </c>
      <c r="M398" s="5" t="inlineStr"/>
      <c r="N398" s="5" t="inlineStr"/>
    </row>
    <row r="399">
      <c r="A399" s="13" t="inlineStr">
        <is>
          <t>00038259</t>
        </is>
      </c>
      <c r="B399" s="5" t="inlineStr">
        <is>
          <t>[00038259] LIMI FERTI 30SACHETS</t>
        </is>
      </c>
      <c r="C399" s="5" t="inlineStr">
        <is>
          <t>دواء</t>
        </is>
      </c>
      <c r="D399" s="13" t="inlineStr">
        <is>
          <t>608028917104</t>
        </is>
      </c>
      <c r="E399" s="14">
        <f>L399-K399</f>
        <v/>
      </c>
      <c r="F399" s="14" t="n">
        <v>0</v>
      </c>
      <c r="G399" s="14">
        <f>F399-E399</f>
        <v/>
      </c>
      <c r="H399" s="7" t="n">
        <v>352</v>
      </c>
      <c r="I399" s="7">
        <f>G399*H399</f>
        <v/>
      </c>
      <c r="J399" s="16" t="inlineStr">
        <is>
          <t>لم يُجرد</t>
        </is>
      </c>
      <c r="K399" s="14" t="n">
        <v>0</v>
      </c>
      <c r="L399" s="14" t="n">
        <v>1</v>
      </c>
      <c r="M399" s="5" t="inlineStr"/>
      <c r="N399" s="5" t="inlineStr"/>
    </row>
    <row r="400">
      <c r="A400" s="13" t="inlineStr">
        <is>
          <t>00038751</t>
        </is>
      </c>
      <c r="B400" s="5" t="inlineStr">
        <is>
          <t>[00038751] MELATONORM DRINK 1 VIALS</t>
        </is>
      </c>
      <c r="C400" s="5" t="inlineStr">
        <is>
          <t>دواء</t>
        </is>
      </c>
      <c r="D400" s="13" t="inlineStr">
        <is>
          <t>795044248852</t>
        </is>
      </c>
      <c r="E400" s="14">
        <f>L400-K400</f>
        <v/>
      </c>
      <c r="F400" s="14" t="n">
        <v>0</v>
      </c>
      <c r="G400" s="14">
        <f>F400-E400</f>
        <v/>
      </c>
      <c r="H400" s="7" t="n">
        <v>19</v>
      </c>
      <c r="I400" s="7">
        <f>G400*H400</f>
        <v/>
      </c>
      <c r="J400" s="16" t="inlineStr">
        <is>
          <t>لم يُجرد</t>
        </is>
      </c>
      <c r="K400" s="14" t="n">
        <v>0</v>
      </c>
      <c r="L400" s="14" t="n">
        <v>28</v>
      </c>
      <c r="M400" s="5" t="inlineStr"/>
      <c r="N400" s="5" t="inlineStr"/>
    </row>
    <row r="401">
      <c r="A401" s="13" t="inlineStr">
        <is>
          <t>0005402</t>
        </is>
      </c>
      <c r="B401" s="5" t="inlineStr">
        <is>
          <t>[0005402] OLMETEC PLUS 40/12.5 MG TABLET</t>
        </is>
      </c>
      <c r="C401" s="5" t="inlineStr">
        <is>
          <t>دواء</t>
        </is>
      </c>
      <c r="D401" s="13" t="inlineStr">
        <is>
          <t>010628509400023310f1</t>
        </is>
      </c>
      <c r="E401" s="14">
        <f>L401-K401</f>
        <v/>
      </c>
      <c r="F401" s="14" t="n">
        <v>0</v>
      </c>
      <c r="G401" s="14">
        <f>F401-E401</f>
        <v/>
      </c>
      <c r="H401" s="7" t="n">
        <v>87.3</v>
      </c>
      <c r="I401" s="7">
        <f>G401*H401</f>
        <v/>
      </c>
      <c r="J401" s="16" t="inlineStr">
        <is>
          <t>لم يُجرد</t>
        </is>
      </c>
      <c r="K401" s="14" t="n">
        <v>0</v>
      </c>
      <c r="L401" s="14" t="n">
        <v>3</v>
      </c>
      <c r="M401" s="5" t="inlineStr"/>
      <c r="N401" s="5" t="inlineStr"/>
    </row>
    <row r="402">
      <c r="A402" s="13" t="inlineStr">
        <is>
          <t>00014959</t>
        </is>
      </c>
      <c r="B402" s="5" t="inlineStr">
        <is>
          <t>[00014959] NEUROBION 10*3ML AMP</t>
        </is>
      </c>
      <c r="C402" s="5" t="inlineStr">
        <is>
          <t>دواء</t>
        </is>
      </c>
      <c r="D402" s="13" t="inlineStr">
        <is>
          <t>01040548392342001722</t>
        </is>
      </c>
      <c r="E402" s="14">
        <f>L402-K402</f>
        <v/>
      </c>
      <c r="F402" s="14" t="n">
        <v>0</v>
      </c>
      <c r="G402" s="14">
        <f>F402-E402</f>
        <v/>
      </c>
      <c r="H402" s="7" t="n">
        <v>45.5</v>
      </c>
      <c r="I402" s="7">
        <f>G402*H402</f>
        <v/>
      </c>
      <c r="J402" s="16" t="inlineStr">
        <is>
          <t>لم يُجرد</t>
        </is>
      </c>
      <c r="K402" s="14" t="n">
        <v>0</v>
      </c>
      <c r="L402" s="14" t="n">
        <v>6</v>
      </c>
      <c r="M402" s="5" t="inlineStr"/>
      <c r="N402" s="5" t="inlineStr"/>
    </row>
    <row r="403">
      <c r="A403" s="13" t="inlineStr">
        <is>
          <t>0004082</t>
        </is>
      </c>
      <c r="B403" s="5" t="inlineStr">
        <is>
          <t>[0004082] CO DIOVAN 80MG/12.5MG 28 TAB</t>
        </is>
      </c>
      <c r="C403" s="5" t="inlineStr">
        <is>
          <t>دواء</t>
        </is>
      </c>
      <c r="D403" s="13" t="inlineStr">
        <is>
          <t>07612791396663</t>
        </is>
      </c>
      <c r="E403" s="14">
        <f>L403-K403</f>
        <v/>
      </c>
      <c r="F403" s="14" t="n">
        <v>0</v>
      </c>
      <c r="G403" s="14">
        <f>F403-E403</f>
        <v/>
      </c>
      <c r="H403" s="7" t="n">
        <v>38.95</v>
      </c>
      <c r="I403" s="7">
        <f>G403*H403</f>
        <v/>
      </c>
      <c r="J403" s="16" t="inlineStr">
        <is>
          <t>لم يُجرد</t>
        </is>
      </c>
      <c r="K403" s="14" t="n">
        <v>0</v>
      </c>
      <c r="L403" s="14" t="n">
        <v>7</v>
      </c>
      <c r="M403" s="5" t="inlineStr"/>
      <c r="N403" s="5" t="inlineStr"/>
    </row>
    <row r="404">
      <c r="A404" s="13" t="inlineStr">
        <is>
          <t>0004576</t>
        </is>
      </c>
      <c r="B404" s="5" t="inlineStr">
        <is>
          <t>[0004576] WINEX 400MG CAP WASFA</t>
        </is>
      </c>
      <c r="C404" s="5" t="inlineStr">
        <is>
          <t>دواء</t>
        </is>
      </c>
      <c r="D404" s="13" t="inlineStr">
        <is>
          <t>6281102232580</t>
        </is>
      </c>
      <c r="E404" s="14">
        <f>L404-K404</f>
        <v/>
      </c>
      <c r="F404" s="14" t="n">
        <v>0</v>
      </c>
      <c r="G404" s="14">
        <f>F404-E404</f>
        <v/>
      </c>
      <c r="H404" s="7" t="n">
        <v>67.95</v>
      </c>
      <c r="I404" s="7">
        <f>G404*H404</f>
        <v/>
      </c>
      <c r="J404" s="16" t="inlineStr">
        <is>
          <t>لم يُجرد</t>
        </is>
      </c>
      <c r="K404" s="14" t="n">
        <v>0</v>
      </c>
      <c r="L404" s="14" t="n">
        <v>4</v>
      </c>
      <c r="M404" s="5" t="inlineStr"/>
      <c r="N404" s="5" t="inlineStr"/>
    </row>
    <row r="405">
      <c r="A405" s="13" t="inlineStr">
        <is>
          <t>0003515</t>
        </is>
      </c>
      <c r="B405" s="5" t="inlineStr">
        <is>
          <t>[0003515] GYNERA 21 TAB</t>
        </is>
      </c>
      <c r="C405" s="5" t="inlineStr">
        <is>
          <t>دواء</t>
        </is>
      </c>
      <c r="D405" s="13" t="inlineStr">
        <is>
          <t>06285074005203</t>
        </is>
      </c>
      <c r="E405" s="14">
        <f>L405-K405</f>
        <v/>
      </c>
      <c r="F405" s="14" t="n">
        <v>0</v>
      </c>
      <c r="G405" s="14">
        <f>F405-E405</f>
        <v/>
      </c>
      <c r="H405" s="7" t="n">
        <v>17.65</v>
      </c>
      <c r="I405" s="7">
        <f>G405*H405</f>
        <v/>
      </c>
      <c r="J405" s="16" t="inlineStr">
        <is>
          <t>لم يُجرد</t>
        </is>
      </c>
      <c r="K405" s="14" t="n">
        <v>0</v>
      </c>
      <c r="L405" s="14" t="n">
        <v>16</v>
      </c>
      <c r="M405" s="5" t="inlineStr"/>
      <c r="N405" s="5" t="inlineStr"/>
    </row>
    <row r="406">
      <c r="A406" s="13" t="inlineStr">
        <is>
          <t>0004657</t>
        </is>
      </c>
      <c r="B406" s="5" t="inlineStr">
        <is>
          <t>[0004657] VOLTIC 50MG 20TAB</t>
        </is>
      </c>
      <c r="C406" s="5" t="inlineStr">
        <is>
          <t>دواء</t>
        </is>
      </c>
      <c r="D406" s="13" t="inlineStr">
        <is>
          <t>06285128000888</t>
        </is>
      </c>
      <c r="E406" s="14">
        <f>L406-K406</f>
        <v/>
      </c>
      <c r="F406" s="14" t="n">
        <v>0</v>
      </c>
      <c r="G406" s="14">
        <f>F406-E406</f>
        <v/>
      </c>
      <c r="H406" s="7" t="n">
        <v>18.95</v>
      </c>
      <c r="I406" s="7">
        <f>G406*H406</f>
        <v/>
      </c>
      <c r="J406" s="16" t="inlineStr">
        <is>
          <t>لم يُجرد</t>
        </is>
      </c>
      <c r="K406" s="14" t="n">
        <v>0</v>
      </c>
      <c r="L406" s="14" t="n">
        <v>28</v>
      </c>
      <c r="M406" s="5" t="inlineStr"/>
      <c r="N406" s="5" t="inlineStr"/>
    </row>
    <row r="407">
      <c r="A407" s="13" t="inlineStr">
        <is>
          <t>0003819</t>
        </is>
      </c>
      <c r="B407" s="5" t="inlineStr">
        <is>
          <t>[0003819] FATLOS 120MG 80CAP</t>
        </is>
      </c>
      <c r="C407" s="5" t="inlineStr">
        <is>
          <t>دواء</t>
        </is>
      </c>
      <c r="D407" s="13" t="inlineStr">
        <is>
          <t>06285147001187</t>
        </is>
      </c>
      <c r="E407" s="14">
        <f>L407-K407</f>
        <v/>
      </c>
      <c r="F407" s="14" t="n">
        <v>0</v>
      </c>
      <c r="G407" s="14">
        <f>F407-E407</f>
        <v/>
      </c>
      <c r="H407" s="7" t="n">
        <v>129.05</v>
      </c>
      <c r="I407" s="7">
        <f>G407*H407</f>
        <v/>
      </c>
      <c r="J407" s="16" t="inlineStr">
        <is>
          <t>لم يُجرد</t>
        </is>
      </c>
      <c r="K407" s="14" t="n">
        <v>0</v>
      </c>
      <c r="L407" s="14" t="n">
        <v>2</v>
      </c>
      <c r="M407" s="5" t="inlineStr"/>
      <c r="N407" s="5" t="inlineStr"/>
    </row>
    <row r="408">
      <c r="A408" s="13" t="inlineStr">
        <is>
          <t>00017011</t>
        </is>
      </c>
      <c r="B408" s="5" t="inlineStr">
        <is>
          <t>[00017011] ZORON 8MG /4ML 5 AMP</t>
        </is>
      </c>
      <c r="C408" s="5" t="inlineStr">
        <is>
          <t>دواء</t>
        </is>
      </c>
      <c r="D408" s="13" t="inlineStr"/>
      <c r="E408" s="14">
        <f>L408-K408</f>
        <v/>
      </c>
      <c r="F408" s="14" t="n">
        <v>0</v>
      </c>
      <c r="G408" s="14">
        <f>F408-E408</f>
        <v/>
      </c>
      <c r="H408" s="7" t="n">
        <v>141.6</v>
      </c>
      <c r="I408" s="7">
        <f>G408*H408</f>
        <v/>
      </c>
      <c r="J408" s="16" t="inlineStr">
        <is>
          <t>لم يُجرد</t>
        </is>
      </c>
      <c r="K408" s="14" t="n">
        <v>0</v>
      </c>
      <c r="L408" s="14" t="n">
        <v>2</v>
      </c>
      <c r="M408" s="5" t="inlineStr"/>
      <c r="N408" s="5" t="inlineStr"/>
    </row>
    <row r="409">
      <c r="A409" s="13" t="inlineStr">
        <is>
          <t>00035529</t>
        </is>
      </c>
      <c r="B409" s="5" t="inlineStr">
        <is>
          <t>[00035529] MOVE 100MG 0055 2PCS FREEZE GEL100G FREE</t>
        </is>
      </c>
      <c r="C409" s="5" t="inlineStr">
        <is>
          <t>دواء</t>
        </is>
      </c>
      <c r="D409" s="13" t="inlineStr">
        <is>
          <t>8809868140055</t>
        </is>
      </c>
      <c r="E409" s="14">
        <f>L409-K409</f>
        <v/>
      </c>
      <c r="F409" s="14" t="n">
        <v>0</v>
      </c>
      <c r="G409" s="14">
        <f>F409-E409</f>
        <v/>
      </c>
      <c r="H409" s="7" t="n">
        <v>64</v>
      </c>
      <c r="I409" s="7">
        <f>G409*H409</f>
        <v/>
      </c>
      <c r="J409" s="16" t="inlineStr">
        <is>
          <t>لم يُجرد</t>
        </is>
      </c>
      <c r="K409" s="14" t="n">
        <v>0</v>
      </c>
      <c r="L409" s="14" t="n">
        <v>5</v>
      </c>
      <c r="M409" s="5" t="inlineStr"/>
      <c r="N409" s="5" t="inlineStr"/>
    </row>
    <row r="410">
      <c r="A410" s="13" t="inlineStr">
        <is>
          <t>0004100</t>
        </is>
      </c>
      <c r="B410" s="5" t="inlineStr">
        <is>
          <t>[0004100] CLAVODAR 1G 14TAB</t>
        </is>
      </c>
      <c r="C410" s="5" t="inlineStr">
        <is>
          <t>دواء</t>
        </is>
      </c>
      <c r="D410" s="13" t="inlineStr">
        <is>
          <t>06251107241016</t>
        </is>
      </c>
      <c r="E410" s="14">
        <f>L410-K410</f>
        <v/>
      </c>
      <c r="F410" s="14" t="n">
        <v>0</v>
      </c>
      <c r="G410" s="14">
        <f>F410-E410</f>
        <v/>
      </c>
      <c r="H410" s="7" t="n">
        <v>44.6</v>
      </c>
      <c r="I410" s="7">
        <f>G410*H410</f>
        <v/>
      </c>
      <c r="J410" s="16" t="inlineStr">
        <is>
          <t>لم يُجرد</t>
        </is>
      </c>
      <c r="K410" s="14" t="n">
        <v>0</v>
      </c>
      <c r="L410" s="14" t="n">
        <v>6</v>
      </c>
      <c r="M410" s="5" t="inlineStr"/>
      <c r="N410" s="5" t="inlineStr"/>
    </row>
    <row r="411">
      <c r="A411" s="13" t="inlineStr">
        <is>
          <t>0005300</t>
        </is>
      </c>
      <c r="B411" s="5" t="inlineStr">
        <is>
          <t>[0005300] PANADREX 500MG 24TAB</t>
        </is>
      </c>
      <c r="C411" s="5" t="inlineStr">
        <is>
          <t>دواء</t>
        </is>
      </c>
      <c r="D411" s="13" t="inlineStr">
        <is>
          <t>01062850850010031722</t>
        </is>
      </c>
      <c r="E411" s="14">
        <f>L411-K411</f>
        <v/>
      </c>
      <c r="F411" s="14" t="n">
        <v>0</v>
      </c>
      <c r="G411" s="14">
        <f>F411-E411</f>
        <v/>
      </c>
      <c r="H411" s="7" t="n">
        <v>5.05</v>
      </c>
      <c r="I411" s="7">
        <f>G411*H411</f>
        <v/>
      </c>
      <c r="J411" s="16" t="inlineStr">
        <is>
          <t>لم يُجرد</t>
        </is>
      </c>
      <c r="K411" s="14" t="n">
        <v>0</v>
      </c>
      <c r="L411" s="14" t="n">
        <v>79</v>
      </c>
      <c r="M411" s="5" t="inlineStr"/>
      <c r="N411" s="5" t="inlineStr"/>
    </row>
    <row r="412">
      <c r="A412" s="13" t="inlineStr">
        <is>
          <t>0004796</t>
        </is>
      </c>
      <c r="B412" s="5" t="inlineStr">
        <is>
          <t>[0004796] TOBRADEX EYE OINTMENT 3.5GM</t>
        </is>
      </c>
      <c r="C412" s="5" t="inlineStr">
        <is>
          <t>دواء</t>
        </is>
      </c>
      <c r="D412" s="13" t="inlineStr">
        <is>
          <t>07612797436004</t>
        </is>
      </c>
      <c r="E412" s="14">
        <f>L412-K412</f>
        <v/>
      </c>
      <c r="F412" s="14" t="n">
        <v>0</v>
      </c>
      <c r="G412" s="14">
        <f>F412-E412</f>
        <v/>
      </c>
      <c r="H412" s="7" t="n">
        <v>20.4</v>
      </c>
      <c r="I412" s="7">
        <f>G412*H412</f>
        <v/>
      </c>
      <c r="J412" s="16" t="inlineStr">
        <is>
          <t>لم يُجرد</t>
        </is>
      </c>
      <c r="K412" s="14" t="n">
        <v>0</v>
      </c>
      <c r="L412" s="14" t="n">
        <v>13</v>
      </c>
      <c r="M412" s="5" t="inlineStr"/>
      <c r="N412" s="5" t="inlineStr"/>
    </row>
    <row r="413">
      <c r="A413" s="13" t="inlineStr">
        <is>
          <t>0005653</t>
        </is>
      </c>
      <c r="B413" s="5" t="inlineStr">
        <is>
          <t>[0005653] MAXIM 400MG 5TAB WASFA</t>
        </is>
      </c>
      <c r="C413" s="5" t="inlineStr">
        <is>
          <t>دواء</t>
        </is>
      </c>
      <c r="D413" s="13" t="inlineStr">
        <is>
          <t>010628512800059810uc</t>
        </is>
      </c>
      <c r="E413" s="14">
        <f>L413-K413</f>
        <v/>
      </c>
      <c r="F413" s="14" t="n">
        <v>0</v>
      </c>
      <c r="G413" s="14">
        <f>F413-E413</f>
        <v/>
      </c>
      <c r="H413" s="7" t="n">
        <v>61.05</v>
      </c>
      <c r="I413" s="7">
        <f>G413*H413</f>
        <v/>
      </c>
      <c r="J413" s="16" t="inlineStr">
        <is>
          <t>لم يُجرد</t>
        </is>
      </c>
      <c r="K413" s="14" t="n">
        <v>0</v>
      </c>
      <c r="L413" s="14" t="n">
        <v>6</v>
      </c>
      <c r="M413" s="5" t="inlineStr"/>
      <c r="N413" s="5" t="inlineStr"/>
    </row>
    <row r="414">
      <c r="A414" s="13" t="inlineStr">
        <is>
          <t>00030151</t>
        </is>
      </c>
      <c r="B414" s="5" t="inlineStr">
        <is>
          <t>[00030151] JP VITA-C ZINC 60SOFT CAP</t>
        </is>
      </c>
      <c r="C414" s="5" t="inlineStr">
        <is>
          <t>دواء</t>
        </is>
      </c>
      <c r="D414" s="13" t="inlineStr">
        <is>
          <t>06285128005364</t>
        </is>
      </c>
      <c r="E414" s="14">
        <f>L414-K414</f>
        <v/>
      </c>
      <c r="F414" s="14" t="n">
        <v>0</v>
      </c>
      <c r="G414" s="14">
        <f>F414-E414</f>
        <v/>
      </c>
      <c r="H414" s="7" t="n">
        <v>33</v>
      </c>
      <c r="I414" s="7">
        <f>G414*H414</f>
        <v/>
      </c>
      <c r="J414" s="16" t="inlineStr">
        <is>
          <t>لم يُجرد</t>
        </is>
      </c>
      <c r="K414" s="14" t="n">
        <v>0</v>
      </c>
      <c r="L414" s="14" t="n">
        <v>8</v>
      </c>
      <c r="M414" s="5" t="inlineStr"/>
      <c r="N414" s="5" t="inlineStr"/>
    </row>
    <row r="415">
      <c r="A415" s="13" t="inlineStr">
        <is>
          <t>00034055</t>
        </is>
      </c>
      <c r="B415" s="5" t="inlineStr">
        <is>
          <t>[00034055] SMILE M.WASH 500ML</t>
        </is>
      </c>
      <c r="C415" s="5" t="inlineStr">
        <is>
          <t>دواء</t>
        </is>
      </c>
      <c r="D415" s="13" t="inlineStr">
        <is>
          <t>795697001286</t>
        </is>
      </c>
      <c r="E415" s="14">
        <f>L415-K415</f>
        <v/>
      </c>
      <c r="F415" s="14" t="n">
        <v>0</v>
      </c>
      <c r="G415" s="14">
        <f>F415-E415</f>
        <v/>
      </c>
      <c r="H415" s="7" t="n">
        <v>55</v>
      </c>
      <c r="I415" s="7">
        <f>G415*H415</f>
        <v/>
      </c>
      <c r="J415" s="16" t="inlineStr">
        <is>
          <t>لم يُجرد</t>
        </is>
      </c>
      <c r="K415" s="14" t="n">
        <v>0</v>
      </c>
      <c r="L415" s="14" t="n">
        <v>10</v>
      </c>
      <c r="M415" s="5" t="inlineStr"/>
      <c r="N415" s="5" t="inlineStr"/>
    </row>
    <row r="416">
      <c r="A416" s="13" t="inlineStr">
        <is>
          <t>00044186</t>
        </is>
      </c>
      <c r="B416" s="5" t="inlineStr">
        <is>
          <t>[00044186] LOTRELL 0.5 EYE DROPS 5 ML</t>
        </is>
      </c>
      <c r="C416" s="5" t="inlineStr">
        <is>
          <t>دواء</t>
        </is>
      </c>
      <c r="D416" s="13" t="inlineStr"/>
      <c r="E416" s="14">
        <f>L416-K416</f>
        <v/>
      </c>
      <c r="F416" s="14" t="n">
        <v>0</v>
      </c>
      <c r="G416" s="14">
        <f>F416-E416</f>
        <v/>
      </c>
      <c r="H416" s="7" t="n">
        <v>44</v>
      </c>
      <c r="I416" s="7">
        <f>G416*H416</f>
        <v/>
      </c>
      <c r="J416" s="16" t="inlineStr">
        <is>
          <t>لم يُجرد</t>
        </is>
      </c>
      <c r="K416" s="14" t="n">
        <v>0</v>
      </c>
      <c r="L416" s="14" t="n">
        <v>6</v>
      </c>
      <c r="M416" s="5" t="inlineStr"/>
      <c r="N416" s="5" t="inlineStr"/>
    </row>
    <row r="417">
      <c r="A417" s="13" t="inlineStr">
        <is>
          <t>00019502</t>
        </is>
      </c>
      <c r="B417" s="5" t="inlineStr">
        <is>
          <t>[00019502] ARTHRI FLEX MASSAGE CREAM 100 GM</t>
        </is>
      </c>
      <c r="C417" s="5" t="inlineStr">
        <is>
          <t>دواء</t>
        </is>
      </c>
      <c r="D417" s="13" t="inlineStr">
        <is>
          <t>063935007254</t>
        </is>
      </c>
      <c r="E417" s="14">
        <f>L417-K417</f>
        <v/>
      </c>
      <c r="F417" s="14" t="n">
        <v>0</v>
      </c>
      <c r="G417" s="14">
        <f>F417-E417</f>
        <v/>
      </c>
      <c r="H417" s="7" t="n">
        <v>85</v>
      </c>
      <c r="I417" s="7">
        <f>G417*H417</f>
        <v/>
      </c>
      <c r="J417" s="16" t="inlineStr">
        <is>
          <t>لم يُجرد</t>
        </is>
      </c>
      <c r="K417" s="14" t="n">
        <v>0</v>
      </c>
      <c r="L417" s="14" t="n">
        <v>6</v>
      </c>
      <c r="M417" s="5" t="inlineStr"/>
      <c r="N417" s="5" t="inlineStr"/>
    </row>
    <row r="418">
      <c r="A418" s="13" t="inlineStr">
        <is>
          <t>00039469</t>
        </is>
      </c>
      <c r="B418" s="5" t="inlineStr">
        <is>
          <t>[00039469] ADOL CAPLETS 48TAB  500MG</t>
        </is>
      </c>
      <c r="C418" s="5" t="inlineStr">
        <is>
          <t>دواء</t>
        </is>
      </c>
      <c r="D418" s="13" t="inlineStr"/>
      <c r="E418" s="14">
        <f>L418-K418</f>
        <v/>
      </c>
      <c r="F418" s="14" t="n">
        <v>0</v>
      </c>
      <c r="G418" s="14">
        <f>F418-E418</f>
        <v/>
      </c>
      <c r="H418" s="7" t="n">
        <v>10.1</v>
      </c>
      <c r="I418" s="7">
        <f>G418*H418</f>
        <v/>
      </c>
      <c r="J418" s="16" t="inlineStr">
        <is>
          <t>لم يُجرد</t>
        </is>
      </c>
      <c r="K418" s="14" t="n">
        <v>0</v>
      </c>
      <c r="L418" s="14" t="n">
        <v>26</v>
      </c>
      <c r="M418" s="5" t="inlineStr"/>
      <c r="N418" s="5" t="inlineStr"/>
    </row>
    <row r="419">
      <c r="A419" s="13" t="inlineStr">
        <is>
          <t>00036199</t>
        </is>
      </c>
      <c r="B419" s="5" t="inlineStr">
        <is>
          <t>[00036199] EZORA 40MG 28CAP</t>
        </is>
      </c>
      <c r="C419" s="5" t="inlineStr">
        <is>
          <t>دواء</t>
        </is>
      </c>
      <c r="D419" s="13" t="inlineStr">
        <is>
          <t>06281086005231</t>
        </is>
      </c>
      <c r="E419" s="14">
        <f>L419-K419</f>
        <v/>
      </c>
      <c r="F419" s="14" t="n">
        <v>0</v>
      </c>
      <c r="G419" s="14">
        <f>F419-E419</f>
        <v/>
      </c>
      <c r="H419" s="7" t="n">
        <v>65.65000000000001</v>
      </c>
      <c r="I419" s="7">
        <f>G419*H419</f>
        <v/>
      </c>
      <c r="J419" s="16" t="inlineStr">
        <is>
          <t>لم يُجرد</t>
        </is>
      </c>
      <c r="K419" s="14" t="n">
        <v>0</v>
      </c>
      <c r="L419" s="14" t="n">
        <v>4</v>
      </c>
      <c r="M419" s="5" t="inlineStr"/>
      <c r="N419" s="5" t="inlineStr"/>
    </row>
    <row r="420">
      <c r="A420" s="13" t="inlineStr">
        <is>
          <t>00014997</t>
        </is>
      </c>
      <c r="B420" s="5" t="inlineStr">
        <is>
          <t>[00014997] DUETACT 30/4 MG 30 TAB</t>
        </is>
      </c>
      <c r="C420" s="5" t="inlineStr">
        <is>
          <t>دواء</t>
        </is>
      </c>
      <c r="D420" s="13" t="inlineStr"/>
      <c r="E420" s="14">
        <f>L420-K420</f>
        <v/>
      </c>
      <c r="F420" s="14" t="n">
        <v>0</v>
      </c>
      <c r="G420" s="14">
        <f>F420-E420</f>
        <v/>
      </c>
      <c r="H420" s="7" t="n">
        <v>125.8</v>
      </c>
      <c r="I420" s="7">
        <f>G420*H420</f>
        <v/>
      </c>
      <c r="J420" s="16" t="inlineStr">
        <is>
          <t>لم يُجرد</t>
        </is>
      </c>
      <c r="K420" s="14" t="n">
        <v>0</v>
      </c>
      <c r="L420" s="14" t="n">
        <v>2</v>
      </c>
      <c r="M420" s="5" t="inlineStr"/>
      <c r="N420" s="5" t="inlineStr"/>
    </row>
    <row r="421">
      <c r="A421" s="13" t="inlineStr">
        <is>
          <t>0004674</t>
        </is>
      </c>
      <c r="B421" s="5" t="inlineStr">
        <is>
          <t>[0004674] VENTOLIN EVOHALER</t>
        </is>
      </c>
      <c r="C421" s="5" t="inlineStr">
        <is>
          <t>دواء</t>
        </is>
      </c>
      <c r="D421" s="13" t="inlineStr"/>
      <c r="E421" s="14">
        <f>L421-K421</f>
        <v/>
      </c>
      <c r="F421" s="14" t="n">
        <v>0</v>
      </c>
      <c r="G421" s="14">
        <f>F421-E421</f>
        <v/>
      </c>
      <c r="H421" s="7" t="n">
        <v>18.75</v>
      </c>
      <c r="I421" s="7">
        <f>G421*H421</f>
        <v/>
      </c>
      <c r="J421" s="16" t="inlineStr">
        <is>
          <t>لم يُجرد</t>
        </is>
      </c>
      <c r="K421" s="14" t="n">
        <v>0</v>
      </c>
      <c r="L421" s="14" t="n">
        <v>14</v>
      </c>
      <c r="M421" s="5" t="inlineStr"/>
      <c r="N421" s="5" t="inlineStr"/>
    </row>
    <row r="422">
      <c r="A422" s="13" t="inlineStr">
        <is>
          <t>0004451</t>
        </is>
      </c>
      <c r="B422" s="5" t="inlineStr">
        <is>
          <t>[0004451] BEPANTHEN NAPPY CARE OINT 30GM</t>
        </is>
      </c>
      <c r="C422" s="5" t="inlineStr">
        <is>
          <t>دواء</t>
        </is>
      </c>
      <c r="D422" s="13" t="inlineStr">
        <is>
          <t>6285074004527</t>
        </is>
      </c>
      <c r="E422" s="14">
        <f>L422-K422</f>
        <v/>
      </c>
      <c r="F422" s="14" t="n">
        <v>0</v>
      </c>
      <c r="G422" s="14">
        <f>F422-E422</f>
        <v/>
      </c>
      <c r="H422" s="7" t="n">
        <v>17.1</v>
      </c>
      <c r="I422" s="7">
        <f>G422*H422</f>
        <v/>
      </c>
      <c r="J422" s="16" t="inlineStr">
        <is>
          <t>لم يُجرد</t>
        </is>
      </c>
      <c r="K422" s="14" t="n">
        <v>0</v>
      </c>
      <c r="L422" s="14" t="n">
        <v>15</v>
      </c>
      <c r="M422" s="5" t="inlineStr"/>
      <c r="N422" s="5" t="inlineStr"/>
    </row>
    <row r="423">
      <c r="A423" s="13" t="inlineStr">
        <is>
          <t>0005389</t>
        </is>
      </c>
      <c r="B423" s="5" t="inlineStr">
        <is>
          <t>[0005389] AZOMYCIN 200MG SUSP 30ML</t>
        </is>
      </c>
      <c r="C423" s="5" t="inlineStr">
        <is>
          <t>دواء</t>
        </is>
      </c>
      <c r="D423" s="13" t="inlineStr"/>
      <c r="E423" s="14">
        <f>L423-K423</f>
        <v/>
      </c>
      <c r="F423" s="14" t="n">
        <v>0</v>
      </c>
      <c r="G423" s="14">
        <f>F423-E423</f>
        <v/>
      </c>
      <c r="H423" s="7" t="n">
        <v>43.6</v>
      </c>
      <c r="I423" s="7">
        <f>G423*H423</f>
        <v/>
      </c>
      <c r="J423" s="16" t="inlineStr">
        <is>
          <t>لم يُجرد</t>
        </is>
      </c>
      <c r="K423" s="14" t="n">
        <v>0</v>
      </c>
      <c r="L423" s="14" t="n">
        <v>6</v>
      </c>
      <c r="M423" s="5" t="inlineStr"/>
      <c r="N423" s="5" t="inlineStr"/>
    </row>
    <row r="424">
      <c r="A424" s="13" t="inlineStr">
        <is>
          <t>0005449</t>
        </is>
      </c>
      <c r="B424" s="5" t="inlineStr">
        <is>
          <t>[0005449] NORMOTEN 50MG 28TAB</t>
        </is>
      </c>
      <c r="C424" s="5" t="inlineStr">
        <is>
          <t>دواء</t>
        </is>
      </c>
      <c r="D424" s="13" t="inlineStr">
        <is>
          <t>06285101000089</t>
        </is>
      </c>
      <c r="E424" s="14">
        <f>L424-K424</f>
        <v/>
      </c>
      <c r="F424" s="14" t="n">
        <v>0</v>
      </c>
      <c r="G424" s="14">
        <f>F424-E424</f>
        <v/>
      </c>
      <c r="H424" s="7" t="n">
        <v>18.65</v>
      </c>
      <c r="I424" s="7">
        <f>G424*H424</f>
        <v/>
      </c>
      <c r="J424" s="16" t="inlineStr">
        <is>
          <t>لم يُجرد</t>
        </is>
      </c>
      <c r="K424" s="14" t="n">
        <v>0</v>
      </c>
      <c r="L424" s="14" t="n">
        <v>14</v>
      </c>
      <c r="M424" s="5" t="inlineStr"/>
      <c r="N424" s="5" t="inlineStr"/>
    </row>
    <row r="425">
      <c r="A425" s="13" t="inlineStr">
        <is>
          <t>0003852</t>
        </is>
      </c>
      <c r="B425" s="5" t="inlineStr">
        <is>
          <t>[0003852] EXFORGE HCT 10 MG/160/25 MG TAB</t>
        </is>
      </c>
      <c r="C425" s="5" t="inlineStr">
        <is>
          <t>دواء</t>
        </is>
      </c>
      <c r="D425" s="13" t="inlineStr">
        <is>
          <t>07612797253809</t>
        </is>
      </c>
      <c r="E425" s="14">
        <f>L425-K425</f>
        <v/>
      </c>
      <c r="F425" s="14" t="n">
        <v>0</v>
      </c>
      <c r="G425" s="14">
        <f>F425-E425</f>
        <v/>
      </c>
      <c r="H425" s="7" t="n">
        <v>83</v>
      </c>
      <c r="I425" s="7">
        <f>G425*H425</f>
        <v/>
      </c>
      <c r="J425" s="16" t="inlineStr">
        <is>
          <t>لم يُجرد</t>
        </is>
      </c>
      <c r="K425" s="14" t="n">
        <v>0</v>
      </c>
      <c r="L425" s="14" t="n">
        <v>3</v>
      </c>
      <c r="M425" s="5" t="inlineStr"/>
      <c r="N425" s="5" t="inlineStr"/>
    </row>
    <row r="426">
      <c r="A426" s="13" t="inlineStr">
        <is>
          <t>00014721</t>
        </is>
      </c>
      <c r="B426" s="5" t="inlineStr">
        <is>
          <t>[00014721] CONTOUR NEXT 50 STRIPS</t>
        </is>
      </c>
      <c r="C426" s="5" t="inlineStr">
        <is>
          <t>دواء</t>
        </is>
      </c>
      <c r="D426" s="13" t="inlineStr">
        <is>
          <t>5016003729607</t>
        </is>
      </c>
      <c r="E426" s="14">
        <f>L426-K426</f>
        <v/>
      </c>
      <c r="F426" s="14" t="n">
        <v>0</v>
      </c>
      <c r="G426" s="14">
        <f>F426-E426</f>
        <v/>
      </c>
      <c r="H426" s="7" t="n">
        <v>94</v>
      </c>
      <c r="I426" s="7">
        <f>G426*H426</f>
        <v/>
      </c>
      <c r="J426" s="16" t="inlineStr">
        <is>
          <t>لم يُجرد</t>
        </is>
      </c>
      <c r="K426" s="14" t="n">
        <v>0</v>
      </c>
      <c r="L426" s="14" t="n">
        <v>3</v>
      </c>
      <c r="M426" s="5" t="inlineStr"/>
      <c r="N426" s="5" t="inlineStr"/>
    </row>
    <row r="427">
      <c r="A427" s="13" t="inlineStr">
        <is>
          <t>00026205</t>
        </is>
      </c>
      <c r="B427" s="5" t="inlineStr">
        <is>
          <t>[00026205] DAPAZIN 10MG 30TAB</t>
        </is>
      </c>
      <c r="C427" s="5" t="inlineStr">
        <is>
          <t>دواء</t>
        </is>
      </c>
      <c r="D427" s="13" t="inlineStr"/>
      <c r="E427" s="14">
        <f>L427-K427</f>
        <v/>
      </c>
      <c r="F427" s="14" t="n">
        <v>0</v>
      </c>
      <c r="G427" s="14">
        <f>F427-E427</f>
        <v/>
      </c>
      <c r="H427" s="7" t="n">
        <v>153.1</v>
      </c>
      <c r="I427" s="7">
        <f>G427*H427</f>
        <v/>
      </c>
      <c r="J427" s="16" t="inlineStr">
        <is>
          <t>لم يُجرد</t>
        </is>
      </c>
      <c r="K427" s="14" t="n">
        <v>0</v>
      </c>
      <c r="L427" s="14" t="n">
        <v>2</v>
      </c>
      <c r="M427" s="5" t="inlineStr"/>
      <c r="N427" s="5" t="inlineStr"/>
    </row>
    <row r="428">
      <c r="A428" s="13" t="inlineStr">
        <is>
          <t>0004715</t>
        </is>
      </c>
      <c r="B428" s="5" t="inlineStr">
        <is>
          <t>[0004715] TYMER 0.3EYE DROPS 5ML</t>
        </is>
      </c>
      <c r="C428" s="5" t="inlineStr">
        <is>
          <t>دواء</t>
        </is>
      </c>
      <c r="D428" s="13" t="inlineStr">
        <is>
          <t>010628512800086410uh</t>
        </is>
      </c>
      <c r="E428" s="14">
        <f>L428-K428</f>
        <v/>
      </c>
      <c r="F428" s="14" t="n">
        <v>0</v>
      </c>
      <c r="G428" s="14">
        <f>F428-E428</f>
        <v/>
      </c>
      <c r="H428" s="7" t="n">
        <v>28.35</v>
      </c>
      <c r="I428" s="7">
        <f>G428*H428</f>
        <v/>
      </c>
      <c r="J428" s="16" t="inlineStr">
        <is>
          <t>لم يُجرد</t>
        </is>
      </c>
      <c r="K428" s="14" t="n">
        <v>0</v>
      </c>
      <c r="L428" s="14" t="n">
        <v>9</v>
      </c>
      <c r="M428" s="5" t="inlineStr"/>
      <c r="N428" s="5" t="inlineStr"/>
    </row>
    <row r="429">
      <c r="A429" s="13" t="inlineStr">
        <is>
          <t>00048677</t>
        </is>
      </c>
      <c r="B429" s="5" t="inlineStr">
        <is>
          <t>[00048677] JP DIAMON 350/150 MG 60 TAB</t>
        </is>
      </c>
      <c r="C429" s="5" t="inlineStr">
        <is>
          <t>دواء</t>
        </is>
      </c>
      <c r="D429" s="13" t="inlineStr">
        <is>
          <t>06285128024631</t>
        </is>
      </c>
      <c r="E429" s="14">
        <f>L429-K429</f>
        <v/>
      </c>
      <c r="F429" s="14" t="n">
        <v>0</v>
      </c>
      <c r="G429" s="14">
        <f>F429-E429</f>
        <v/>
      </c>
      <c r="H429" s="7" t="n">
        <v>125</v>
      </c>
      <c r="I429" s="7">
        <f>G429*H429</f>
        <v/>
      </c>
      <c r="J429" s="16" t="inlineStr">
        <is>
          <t>لم يُجرد</t>
        </is>
      </c>
      <c r="K429" s="14" t="n">
        <v>0</v>
      </c>
      <c r="L429" s="14" t="n">
        <v>2</v>
      </c>
      <c r="M429" s="5" t="inlineStr"/>
      <c r="N429" s="5" t="inlineStr"/>
    </row>
    <row r="430">
      <c r="A430" s="13" t="inlineStr">
        <is>
          <t>00025960</t>
        </is>
      </c>
      <c r="B430" s="5" t="inlineStr">
        <is>
          <t>[00025960] NASOHERB PROPOLIS NASAL SPRAY</t>
        </is>
      </c>
      <c r="C430" s="5" t="inlineStr">
        <is>
          <t>دواء</t>
        </is>
      </c>
      <c r="D430" s="13" t="inlineStr">
        <is>
          <t>0748515537429</t>
        </is>
      </c>
      <c r="E430" s="14">
        <f>L430-K430</f>
        <v/>
      </c>
      <c r="F430" s="14" t="n">
        <v>0</v>
      </c>
      <c r="G430" s="14">
        <f>F430-E430</f>
        <v/>
      </c>
      <c r="H430" s="7" t="n">
        <v>55</v>
      </c>
      <c r="I430" s="7">
        <f>G430*H430</f>
        <v/>
      </c>
      <c r="J430" s="16" t="inlineStr">
        <is>
          <t>لم يُجرد</t>
        </is>
      </c>
      <c r="K430" s="14" t="n">
        <v>0</v>
      </c>
      <c r="L430" s="14" t="n">
        <v>9</v>
      </c>
      <c r="M430" s="5" t="inlineStr"/>
      <c r="N430" s="5" t="inlineStr"/>
    </row>
    <row r="431">
      <c r="A431" s="13" t="inlineStr">
        <is>
          <t>00012858</t>
        </is>
      </c>
      <c r="B431" s="5" t="inlineStr">
        <is>
          <t>[00012858] JP NATURAL E 400 CAP</t>
        </is>
      </c>
      <c r="C431" s="5" t="inlineStr">
        <is>
          <t>دواء</t>
        </is>
      </c>
      <c r="D431" s="13" t="inlineStr">
        <is>
          <t>06285128006347</t>
        </is>
      </c>
      <c r="E431" s="14">
        <f>L431-K431</f>
        <v/>
      </c>
      <c r="F431" s="14" t="n">
        <v>0</v>
      </c>
      <c r="G431" s="14">
        <f>F431-E431</f>
        <v/>
      </c>
      <c r="H431" s="7" t="n">
        <v>36.3</v>
      </c>
      <c r="I431" s="7">
        <f>G431*H431</f>
        <v/>
      </c>
      <c r="J431" s="16" t="inlineStr">
        <is>
          <t>لم يُجرد</t>
        </is>
      </c>
      <c r="K431" s="14" t="n">
        <v>0</v>
      </c>
      <c r="L431" s="14" t="n">
        <v>7</v>
      </c>
      <c r="M431" s="5" t="inlineStr"/>
      <c r="N431" s="5" t="inlineStr"/>
    </row>
    <row r="432">
      <c r="A432" s="13" t="inlineStr">
        <is>
          <t>00038802</t>
        </is>
      </c>
      <c r="B432" s="5" t="inlineStr">
        <is>
          <t>[00038802] NQ NOOR TRYPSIN 30 TAB 8869</t>
        </is>
      </c>
      <c r="C432" s="5" t="inlineStr">
        <is>
          <t>دواء</t>
        </is>
      </c>
      <c r="D432" s="13" t="inlineStr">
        <is>
          <t>795044248869</t>
        </is>
      </c>
      <c r="E432" s="14">
        <f>L432-K432</f>
        <v/>
      </c>
      <c r="F432" s="14" t="n">
        <v>0</v>
      </c>
      <c r="G432" s="14">
        <f>F432-E432</f>
        <v/>
      </c>
      <c r="H432" s="7" t="n">
        <v>59</v>
      </c>
      <c r="I432" s="7">
        <f>G432*H432</f>
        <v/>
      </c>
      <c r="J432" s="16" t="inlineStr">
        <is>
          <t>لم يُجرد</t>
        </is>
      </c>
      <c r="K432" s="14" t="n">
        <v>0</v>
      </c>
      <c r="L432" s="14" t="n">
        <v>5</v>
      </c>
      <c r="M432" s="5" t="inlineStr"/>
      <c r="N432" s="5" t="inlineStr"/>
    </row>
    <row r="433">
      <c r="A433" s="13" t="inlineStr">
        <is>
          <t>00041302</t>
        </is>
      </c>
      <c r="B433" s="5" t="inlineStr">
        <is>
          <t>[00041302] SS OMEGA 3 M-VIT WMN 30CAP</t>
        </is>
      </c>
      <c r="C433" s="5" t="inlineStr">
        <is>
          <t>دواء</t>
        </is>
      </c>
      <c r="D433" s="13" t="inlineStr">
        <is>
          <t>8700216531986</t>
        </is>
      </c>
      <c r="E433" s="14">
        <f>L433-K433</f>
        <v/>
      </c>
      <c r="F433" s="14" t="n">
        <v>0</v>
      </c>
      <c r="G433" s="14">
        <f>F433-E433</f>
        <v/>
      </c>
      <c r="H433" s="7" t="n">
        <v>94.81999999999999</v>
      </c>
      <c r="I433" s="7">
        <f>G433*H433</f>
        <v/>
      </c>
      <c r="J433" s="16" t="inlineStr">
        <is>
          <t>لم يُجرد</t>
        </is>
      </c>
      <c r="K433" s="14" t="n">
        <v>0</v>
      </c>
      <c r="L433" s="14" t="n">
        <v>3</v>
      </c>
      <c r="M433" s="5" t="inlineStr"/>
      <c r="N433" s="5" t="inlineStr"/>
    </row>
    <row r="434">
      <c r="A434" s="13" t="inlineStr">
        <is>
          <t>00020465</t>
        </is>
      </c>
      <c r="B434" s="5" t="inlineStr">
        <is>
          <t>[00020465] RENACOL 14 SACHET</t>
        </is>
      </c>
      <c r="C434" s="5" t="inlineStr">
        <is>
          <t>دواء</t>
        </is>
      </c>
      <c r="D434" s="13" t="inlineStr">
        <is>
          <t>0723707604554</t>
        </is>
      </c>
      <c r="E434" s="14">
        <f>L434-K434</f>
        <v/>
      </c>
      <c r="F434" s="14" t="n">
        <v>0</v>
      </c>
      <c r="G434" s="14">
        <f>F434-E434</f>
        <v/>
      </c>
      <c r="H434" s="7" t="n">
        <v>110</v>
      </c>
      <c r="I434" s="7">
        <f>G434*H434</f>
        <v/>
      </c>
      <c r="J434" s="16" t="inlineStr">
        <is>
          <t>لم يُجرد</t>
        </is>
      </c>
      <c r="K434" s="14" t="n">
        <v>0</v>
      </c>
      <c r="L434" s="14" t="n">
        <v>3</v>
      </c>
      <c r="M434" s="5" t="inlineStr"/>
      <c r="N434" s="5" t="inlineStr"/>
    </row>
    <row r="435">
      <c r="A435" s="13" t="inlineStr">
        <is>
          <t>00049010</t>
        </is>
      </c>
      <c r="B435" s="5" t="inlineStr">
        <is>
          <t>[00049010] FINASID 5MG 30 FILM COATED TAB</t>
        </is>
      </c>
      <c r="C435" s="5" t="inlineStr">
        <is>
          <t>دواء</t>
        </is>
      </c>
      <c r="D435" s="13" t="inlineStr">
        <is>
          <t>06285094000073</t>
        </is>
      </c>
      <c r="E435" s="14">
        <f>L435-K435</f>
        <v/>
      </c>
      <c r="F435" s="14" t="n">
        <v>0</v>
      </c>
      <c r="G435" s="14">
        <f>F435-E435</f>
        <v/>
      </c>
      <c r="H435" s="7" t="n">
        <v>80.3</v>
      </c>
      <c r="I435" s="7">
        <f>G435*H435</f>
        <v/>
      </c>
      <c r="J435" s="16" t="inlineStr">
        <is>
          <t>لم يُجرد</t>
        </is>
      </c>
      <c r="K435" s="14" t="n">
        <v>0</v>
      </c>
      <c r="L435" s="14" t="n">
        <v>3</v>
      </c>
      <c r="M435" s="5" t="inlineStr"/>
      <c r="N435" s="5" t="inlineStr"/>
    </row>
    <row r="436">
      <c r="A436" s="13" t="inlineStr">
        <is>
          <t>0003482</t>
        </is>
      </c>
      <c r="B436" s="5" t="inlineStr">
        <is>
          <t>[0003482] HIQUIN 2% CREAM 30G WASFA</t>
        </is>
      </c>
      <c r="C436" s="5" t="inlineStr">
        <is>
          <t>دواء</t>
        </is>
      </c>
      <c r="D436" s="13" t="inlineStr">
        <is>
          <t>06285128000475</t>
        </is>
      </c>
      <c r="E436" s="14">
        <f>L436-K436</f>
        <v/>
      </c>
      <c r="F436" s="14" t="n">
        <v>0</v>
      </c>
      <c r="G436" s="14">
        <f>F436-E436</f>
        <v/>
      </c>
      <c r="H436" s="7" t="n">
        <v>23</v>
      </c>
      <c r="I436" s="7">
        <f>G436*H436</f>
        <v/>
      </c>
      <c r="J436" s="16" t="inlineStr">
        <is>
          <t>لم يُجرد</t>
        </is>
      </c>
      <c r="K436" s="14" t="n">
        <v>0</v>
      </c>
      <c r="L436" s="14" t="n">
        <v>13</v>
      </c>
      <c r="M436" s="5" t="inlineStr"/>
      <c r="N436" s="5" t="inlineStr"/>
    </row>
    <row r="437">
      <c r="A437" s="13" t="inlineStr">
        <is>
          <t>00044434</t>
        </is>
      </c>
      <c r="B437" s="5" t="inlineStr">
        <is>
          <t>[00044434] AVALON AVOBAN 2% NASAL OINT 3GM</t>
        </is>
      </c>
      <c r="C437" s="5" t="inlineStr">
        <is>
          <t>دواء</t>
        </is>
      </c>
      <c r="D437" s="13" t="inlineStr">
        <is>
          <t>06285095007606</t>
        </is>
      </c>
      <c r="E437" s="14">
        <f>L437-K437</f>
        <v/>
      </c>
      <c r="F437" s="14" t="n">
        <v>0</v>
      </c>
      <c r="G437" s="14">
        <f>F437-E437</f>
        <v/>
      </c>
      <c r="H437" s="7" t="n">
        <v>28.45</v>
      </c>
      <c r="I437" s="7">
        <f>G437*H437</f>
        <v/>
      </c>
      <c r="J437" s="16" t="inlineStr">
        <is>
          <t>لم يُجرد</t>
        </is>
      </c>
      <c r="K437" s="14" t="n">
        <v>0</v>
      </c>
      <c r="L437" s="14" t="n">
        <v>8</v>
      </c>
      <c r="M437" s="5" t="inlineStr"/>
      <c r="N437" s="5" t="inlineStr"/>
    </row>
    <row r="438">
      <c r="A438" s="13" t="inlineStr">
        <is>
          <t>0005629</t>
        </is>
      </c>
      <c r="B438" s="5" t="inlineStr">
        <is>
          <t>[0005629] MARNYS EXOTIQUE 30 CAPS</t>
        </is>
      </c>
      <c r="C438" s="5" t="inlineStr">
        <is>
          <t>دواء</t>
        </is>
      </c>
      <c r="D438" s="13" t="inlineStr">
        <is>
          <t>8410885071248</t>
        </is>
      </c>
      <c r="E438" s="14">
        <f>L438-K438</f>
        <v/>
      </c>
      <c r="F438" s="14" t="n">
        <v>0</v>
      </c>
      <c r="G438" s="14">
        <f>F438-E438</f>
        <v/>
      </c>
      <c r="H438" s="7" t="n">
        <v>190</v>
      </c>
      <c r="I438" s="7">
        <f>G438*H438</f>
        <v/>
      </c>
      <c r="J438" s="16" t="inlineStr">
        <is>
          <t>لم يُجرد</t>
        </is>
      </c>
      <c r="K438" s="14" t="n">
        <v>0</v>
      </c>
      <c r="L438" s="14" t="n">
        <v>2</v>
      </c>
      <c r="M438" s="5" t="inlineStr"/>
      <c r="N438" s="5" t="inlineStr"/>
    </row>
    <row r="439">
      <c r="A439" s="13" t="inlineStr">
        <is>
          <t>0005544</t>
        </is>
      </c>
      <c r="B439" s="5" t="inlineStr">
        <is>
          <t>[0005544] NEO HEALER OINTMENT 30 GM</t>
        </is>
      </c>
      <c r="C439" s="5" t="inlineStr">
        <is>
          <t>دواء</t>
        </is>
      </c>
      <c r="D439" s="13" t="inlineStr">
        <is>
          <t>06251159028504</t>
        </is>
      </c>
      <c r="E439" s="14">
        <f>L439-K439</f>
        <v/>
      </c>
      <c r="F439" s="14" t="n">
        <v>0</v>
      </c>
      <c r="G439" s="14">
        <f>F439-E439</f>
        <v/>
      </c>
      <c r="H439" s="7" t="n">
        <v>72</v>
      </c>
      <c r="I439" s="7">
        <f>G439*H439</f>
        <v/>
      </c>
      <c r="J439" s="16" t="inlineStr">
        <is>
          <t>لم يُجرد</t>
        </is>
      </c>
      <c r="K439" s="14" t="n">
        <v>0</v>
      </c>
      <c r="L439" s="14" t="n">
        <v>5</v>
      </c>
      <c r="M439" s="5" t="inlineStr"/>
      <c r="N439" s="5" t="inlineStr"/>
    </row>
    <row r="440">
      <c r="A440" s="13" t="inlineStr">
        <is>
          <t>00024233</t>
        </is>
      </c>
      <c r="B440" s="5" t="inlineStr">
        <is>
          <t>[00024233] JP PRIMA K2 100 MCG 60CAP</t>
        </is>
      </c>
      <c r="C440" s="5" t="inlineStr">
        <is>
          <t>دواء</t>
        </is>
      </c>
      <c r="D440" s="13" t="inlineStr">
        <is>
          <t>06285128024990</t>
        </is>
      </c>
      <c r="E440" s="14">
        <f>L440-K440</f>
        <v/>
      </c>
      <c r="F440" s="14" t="n">
        <v>0</v>
      </c>
      <c r="G440" s="14">
        <f>F440-E440</f>
        <v/>
      </c>
      <c r="H440" s="7" t="n">
        <v>59.55</v>
      </c>
      <c r="I440" s="7">
        <f>G440*H440</f>
        <v/>
      </c>
      <c r="J440" s="16" t="inlineStr">
        <is>
          <t>لم يُجرد</t>
        </is>
      </c>
      <c r="K440" s="14" t="n">
        <v>0</v>
      </c>
      <c r="L440" s="14" t="n">
        <v>4</v>
      </c>
      <c r="M440" s="5" t="inlineStr"/>
      <c r="N440" s="5" t="inlineStr"/>
    </row>
    <row r="441">
      <c r="A441" s="13" t="inlineStr">
        <is>
          <t>0005374</t>
        </is>
      </c>
      <c r="B441" s="5" t="inlineStr">
        <is>
          <t>[0005374] OTRIVIN 0.1% MENTHOL NASAL SPRAY 10ML</t>
        </is>
      </c>
      <c r="C441" s="5" t="inlineStr">
        <is>
          <t>دواء</t>
        </is>
      </c>
      <c r="D441" s="13" t="inlineStr"/>
      <c r="E441" s="14">
        <f>L441-K441</f>
        <v/>
      </c>
      <c r="F441" s="14" t="n">
        <v>0</v>
      </c>
      <c r="G441" s="14">
        <f>F441-E441</f>
        <v/>
      </c>
      <c r="H441" s="7" t="n">
        <v>16.55</v>
      </c>
      <c r="I441" s="7">
        <f>G441*H441</f>
        <v/>
      </c>
      <c r="J441" s="16" t="inlineStr">
        <is>
          <t>لم يُجرد</t>
        </is>
      </c>
      <c r="K441" s="14" t="n">
        <v>0</v>
      </c>
      <c r="L441" s="14" t="n">
        <v>15</v>
      </c>
      <c r="M441" s="5" t="inlineStr"/>
      <c r="N441" s="5" t="inlineStr"/>
    </row>
    <row r="442">
      <c r="A442" s="13" t="inlineStr">
        <is>
          <t>00036936</t>
        </is>
      </c>
      <c r="B442" s="5" t="inlineStr">
        <is>
          <t>[00036936] OSVITA 120ML SYRUP JR.PH</t>
        </is>
      </c>
      <c r="C442" s="5" t="inlineStr">
        <is>
          <t>دواء</t>
        </is>
      </c>
      <c r="D442" s="13" t="inlineStr">
        <is>
          <t>795697003426</t>
        </is>
      </c>
      <c r="E442" s="14">
        <f>L442-K442</f>
        <v/>
      </c>
      <c r="F442" s="14" t="n">
        <v>0</v>
      </c>
      <c r="G442" s="14">
        <f>F442-E442</f>
        <v/>
      </c>
      <c r="H442" s="7" t="n">
        <v>69</v>
      </c>
      <c r="I442" s="7">
        <f>G442*H442</f>
        <v/>
      </c>
      <c r="J442" s="16" t="inlineStr">
        <is>
          <t>لم يُجرد</t>
        </is>
      </c>
      <c r="K442" s="14" t="n">
        <v>0</v>
      </c>
      <c r="L442" s="14" t="n">
        <v>3</v>
      </c>
      <c r="M442" s="5" t="inlineStr"/>
      <c r="N442" s="5" t="inlineStr"/>
    </row>
    <row r="443">
      <c r="A443" s="13" t="inlineStr">
        <is>
          <t>0005367</t>
        </is>
      </c>
      <c r="B443" s="5" t="inlineStr">
        <is>
          <t>[0005367] OSTEOCARE 30TAB</t>
        </is>
      </c>
      <c r="C443" s="5" t="inlineStr">
        <is>
          <t>دواء</t>
        </is>
      </c>
      <c r="D443" s="13" t="inlineStr">
        <is>
          <t>5021265227112</t>
        </is>
      </c>
      <c r="E443" s="14">
        <f>L443-K443</f>
        <v/>
      </c>
      <c r="F443" s="14" t="n">
        <v>0</v>
      </c>
      <c r="G443" s="14">
        <f>F443-E443</f>
        <v/>
      </c>
      <c r="H443" s="7" t="n">
        <v>21</v>
      </c>
      <c r="I443" s="7">
        <f>G443*H443</f>
        <v/>
      </c>
      <c r="J443" s="16" t="inlineStr">
        <is>
          <t>لم يُجرد</t>
        </is>
      </c>
      <c r="K443" s="14" t="n">
        <v>0</v>
      </c>
      <c r="L443" s="14" t="n">
        <v>14</v>
      </c>
      <c r="M443" s="5" t="inlineStr"/>
      <c r="N443" s="5" t="inlineStr"/>
    </row>
    <row r="444">
      <c r="A444" s="13" t="inlineStr">
        <is>
          <t>00047322</t>
        </is>
      </c>
      <c r="B444" s="5" t="inlineStr">
        <is>
          <t>[00047322] CHITO ARAX 60CAPS 8920</t>
        </is>
      </c>
      <c r="C444" s="5" t="inlineStr">
        <is>
          <t>دواء</t>
        </is>
      </c>
      <c r="D444" s="13" t="inlineStr">
        <is>
          <t>795044248920</t>
        </is>
      </c>
      <c r="E444" s="14">
        <f>L444-K444</f>
        <v/>
      </c>
      <c r="F444" s="14" t="n">
        <v>0</v>
      </c>
      <c r="G444" s="14">
        <f>F444-E444</f>
        <v/>
      </c>
      <c r="H444" s="7" t="n">
        <v>240</v>
      </c>
      <c r="I444" s="7">
        <f>G444*H444</f>
        <v/>
      </c>
      <c r="J444" s="16" t="inlineStr">
        <is>
          <t>لم يُجرد</t>
        </is>
      </c>
      <c r="K444" s="14" t="n">
        <v>0</v>
      </c>
      <c r="L444" s="14" t="n">
        <v>2</v>
      </c>
      <c r="M444" s="5" t="inlineStr"/>
      <c r="N444" s="5" t="inlineStr"/>
    </row>
    <row r="445">
      <c r="A445" s="13" t="inlineStr">
        <is>
          <t>00048706</t>
        </is>
      </c>
      <c r="B445" s="5" t="inlineStr">
        <is>
          <t>[00048706] ARAX  CHOLINE 30 CAP 2178</t>
        </is>
      </c>
      <c r="C445" s="5" t="inlineStr">
        <is>
          <t>دواء</t>
        </is>
      </c>
      <c r="D445" s="13" t="inlineStr">
        <is>
          <t>0753287202178</t>
        </is>
      </c>
      <c r="E445" s="14">
        <f>L445-K445</f>
        <v/>
      </c>
      <c r="F445" s="14" t="n">
        <v>0</v>
      </c>
      <c r="G445" s="14">
        <f>F445-E445</f>
        <v/>
      </c>
      <c r="H445" s="7" t="n">
        <v>120</v>
      </c>
      <c r="I445" s="7">
        <f>G445*H445</f>
        <v/>
      </c>
      <c r="J445" s="16" t="inlineStr">
        <is>
          <t>لم يُجرد</t>
        </is>
      </c>
      <c r="K445" s="14" t="n">
        <v>0</v>
      </c>
      <c r="L445" s="14" t="n">
        <v>4</v>
      </c>
      <c r="M445" s="5" t="inlineStr"/>
      <c r="N445" s="5" t="inlineStr"/>
    </row>
    <row r="446">
      <c r="A446" s="13" t="inlineStr">
        <is>
          <t>0003445</t>
        </is>
      </c>
      <c r="B446" s="5" t="inlineStr">
        <is>
          <t>[0003445] HYMOX 875MG 14TAB</t>
        </is>
      </c>
      <c r="C446" s="5" t="inlineStr">
        <is>
          <t>دواء</t>
        </is>
      </c>
      <c r="D446" s="13" t="inlineStr"/>
      <c r="E446" s="14">
        <f>L446-K446</f>
        <v/>
      </c>
      <c r="F446" s="14" t="n">
        <v>0</v>
      </c>
      <c r="G446" s="14">
        <f>F446-E446</f>
        <v/>
      </c>
      <c r="H446" s="7" t="n">
        <v>49.5</v>
      </c>
      <c r="I446" s="7">
        <f>G446*H446</f>
        <v/>
      </c>
      <c r="J446" s="16" t="inlineStr">
        <is>
          <t>لم يُجرد</t>
        </is>
      </c>
      <c r="K446" s="14" t="n">
        <v>0</v>
      </c>
      <c r="L446" s="14" t="n">
        <v>5</v>
      </c>
      <c r="M446" s="5" t="inlineStr"/>
      <c r="N446" s="5" t="inlineStr"/>
    </row>
    <row r="447">
      <c r="A447" s="13" t="inlineStr">
        <is>
          <t>0004515</t>
        </is>
      </c>
      <c r="B447" s="5" t="inlineStr">
        <is>
          <t>[0004515] ZETRON 250MG 6 CAPS</t>
        </is>
      </c>
      <c r="C447" s="5" t="inlineStr">
        <is>
          <t>دواء</t>
        </is>
      </c>
      <c r="D447" s="13" t="inlineStr"/>
      <c r="E447" s="14">
        <f>L447-K447</f>
        <v/>
      </c>
      <c r="F447" s="14" t="n">
        <v>0</v>
      </c>
      <c r="G447" s="14">
        <f>F447-E447</f>
        <v/>
      </c>
      <c r="H447" s="7" t="n">
        <v>50</v>
      </c>
      <c r="I447" s="7">
        <f>G447*H447</f>
        <v/>
      </c>
      <c r="J447" s="16" t="inlineStr">
        <is>
          <t>لم يُجرد</t>
        </is>
      </c>
      <c r="K447" s="14" t="n">
        <v>0</v>
      </c>
      <c r="L447" s="14" t="n">
        <v>5</v>
      </c>
      <c r="M447" s="5" t="inlineStr"/>
      <c r="N447" s="5" t="inlineStr"/>
    </row>
    <row r="448">
      <c r="A448" s="13" t="inlineStr">
        <is>
          <t>0004654</t>
        </is>
      </c>
      <c r="B448" s="5" t="inlineStr">
        <is>
          <t>[0004654] VOLTAREN RET 100MG 10TAB</t>
        </is>
      </c>
      <c r="C448" s="5" t="inlineStr">
        <is>
          <t>دواء</t>
        </is>
      </c>
      <c r="D448" s="13" t="inlineStr">
        <is>
          <t>0761279719876617</t>
        </is>
      </c>
      <c r="E448" s="14">
        <f>L448-K448</f>
        <v/>
      </c>
      <c r="F448" s="14" t="n">
        <v>0</v>
      </c>
      <c r="G448" s="14">
        <f>F448-E448</f>
        <v/>
      </c>
      <c r="H448" s="7" t="n">
        <v>27.3</v>
      </c>
      <c r="I448" s="7">
        <f>G448*H448</f>
        <v/>
      </c>
      <c r="J448" s="16" t="inlineStr">
        <is>
          <t>لم يُجرد</t>
        </is>
      </c>
      <c r="K448" s="14" t="n">
        <v>0</v>
      </c>
      <c r="L448" s="14" t="n">
        <v>9</v>
      </c>
      <c r="M448" s="5" t="inlineStr"/>
      <c r="N448" s="5" t="inlineStr"/>
    </row>
    <row r="449">
      <c r="A449" s="13" t="inlineStr">
        <is>
          <t>0004786</t>
        </is>
      </c>
      <c r="B449" s="5" t="inlineStr">
        <is>
          <t>[0004786] TILAX 4MG 30TAB</t>
        </is>
      </c>
      <c r="C449" s="5" t="inlineStr">
        <is>
          <t>دواء</t>
        </is>
      </c>
      <c r="D449" s="13" t="inlineStr">
        <is>
          <t>06281080011924</t>
        </is>
      </c>
      <c r="E449" s="14">
        <f>L449-K449</f>
        <v/>
      </c>
      <c r="F449" s="14" t="n">
        <v>0</v>
      </c>
      <c r="G449" s="14">
        <f>F449-E449</f>
        <v/>
      </c>
      <c r="H449" s="7" t="n">
        <v>29.15</v>
      </c>
      <c r="I449" s="7">
        <f>G449*H449</f>
        <v/>
      </c>
      <c r="J449" s="16" t="inlineStr">
        <is>
          <t>لم يُجرد</t>
        </is>
      </c>
      <c r="K449" s="14" t="n">
        <v>0</v>
      </c>
      <c r="L449" s="14" t="n">
        <v>12</v>
      </c>
      <c r="M449" s="5" t="inlineStr"/>
      <c r="N449" s="5" t="inlineStr"/>
    </row>
    <row r="450">
      <c r="A450" s="13" t="inlineStr">
        <is>
          <t>00043313</t>
        </is>
      </c>
      <c r="B450" s="5" t="inlineStr">
        <is>
          <t>[00043313] MAX FIBRA 200 GM 000986</t>
        </is>
      </c>
      <c r="C450" s="5" t="inlineStr">
        <is>
          <t>دواء</t>
        </is>
      </c>
      <c r="D450" s="13" t="inlineStr">
        <is>
          <t>8430022000986</t>
        </is>
      </c>
      <c r="E450" s="14">
        <f>L450-K450</f>
        <v/>
      </c>
      <c r="F450" s="14" t="n">
        <v>0</v>
      </c>
      <c r="G450" s="14">
        <f>F450-E450</f>
        <v/>
      </c>
      <c r="H450" s="7" t="n">
        <v>110</v>
      </c>
      <c r="I450" s="7">
        <f>G450*H450</f>
        <v/>
      </c>
      <c r="J450" s="16" t="inlineStr">
        <is>
          <t>لم يُجرد</t>
        </is>
      </c>
      <c r="K450" s="14" t="n">
        <v>0</v>
      </c>
      <c r="L450" s="14" t="n">
        <v>2</v>
      </c>
      <c r="M450" s="5" t="inlineStr"/>
      <c r="N450" s="5" t="inlineStr"/>
    </row>
    <row r="451">
      <c r="A451" s="13" t="inlineStr">
        <is>
          <t>00042990</t>
        </is>
      </c>
      <c r="B451" s="5" t="inlineStr">
        <is>
          <t>[00042990] SINOMARIN MINI SPRAY 30 ML 0957</t>
        </is>
      </c>
      <c r="C451" s="5" t="inlineStr">
        <is>
          <t>دواء</t>
        </is>
      </c>
      <c r="D451" s="13" t="inlineStr">
        <is>
          <t>5206892100957</t>
        </is>
      </c>
      <c r="E451" s="14">
        <f>L451-K451</f>
        <v/>
      </c>
      <c r="F451" s="14" t="n">
        <v>0</v>
      </c>
      <c r="G451" s="14">
        <f>F451-E451</f>
        <v/>
      </c>
      <c r="H451" s="7" t="n">
        <v>55</v>
      </c>
      <c r="I451" s="7">
        <f>G451*H451</f>
        <v/>
      </c>
      <c r="J451" s="16" t="inlineStr">
        <is>
          <t>لم يُجرد</t>
        </is>
      </c>
      <c r="K451" s="14" t="n">
        <v>0</v>
      </c>
      <c r="L451" s="14" t="n">
        <v>5</v>
      </c>
      <c r="M451" s="5" t="inlineStr"/>
      <c r="N451" s="5" t="inlineStr"/>
    </row>
    <row r="452">
      <c r="A452" s="13" t="inlineStr">
        <is>
          <t>00046388</t>
        </is>
      </c>
      <c r="B452" s="5" t="inlineStr">
        <is>
          <t>[00046388] SARTAN 50 MG 30 TAB</t>
        </is>
      </c>
      <c r="C452" s="5" t="inlineStr">
        <is>
          <t>دواء</t>
        </is>
      </c>
      <c r="D452" s="13" t="inlineStr">
        <is>
          <t>6291103730145</t>
        </is>
      </c>
      <c r="E452" s="14">
        <f>L452-K452</f>
        <v/>
      </c>
      <c r="F452" s="14" t="n">
        <v>0</v>
      </c>
      <c r="G452" s="14">
        <f>F452-E452</f>
        <v/>
      </c>
      <c r="H452" s="7" t="n">
        <v>40.8</v>
      </c>
      <c r="I452" s="7">
        <f>G452*H452</f>
        <v/>
      </c>
      <c r="J452" s="16" t="inlineStr">
        <is>
          <t>لم يُجرد</t>
        </is>
      </c>
      <c r="K452" s="14" t="n">
        <v>0</v>
      </c>
      <c r="L452" s="14" t="n">
        <v>6</v>
      </c>
      <c r="M452" s="5" t="inlineStr"/>
      <c r="N452" s="5" t="inlineStr"/>
    </row>
    <row r="453">
      <c r="A453" s="13" t="inlineStr">
        <is>
          <t>00048245</t>
        </is>
      </c>
      <c r="B453" s="5" t="inlineStr">
        <is>
          <t>[00048245] MR TUMEE OMEGA  60 GUMMY 0882</t>
        </is>
      </c>
      <c r="C453" s="5" t="inlineStr">
        <is>
          <t>دواء</t>
        </is>
      </c>
      <c r="D453" s="13" t="inlineStr">
        <is>
          <t>835776000882</t>
        </is>
      </c>
      <c r="E453" s="14">
        <f>L453-K453</f>
        <v/>
      </c>
      <c r="F453" s="14" t="n">
        <v>0</v>
      </c>
      <c r="G453" s="14">
        <f>F453-E453</f>
        <v/>
      </c>
      <c r="H453" s="7" t="n">
        <v>148</v>
      </c>
      <c r="I453" s="7">
        <f>G453*H453</f>
        <v/>
      </c>
      <c r="J453" s="16" t="inlineStr">
        <is>
          <t>لم يُجرد</t>
        </is>
      </c>
      <c r="K453" s="14" t="n">
        <v>0</v>
      </c>
      <c r="L453" s="14" t="n">
        <v>3</v>
      </c>
      <c r="M453" s="5" t="inlineStr"/>
      <c r="N453" s="5" t="inlineStr"/>
    </row>
    <row r="454">
      <c r="A454" s="13" t="inlineStr">
        <is>
          <t>00031897</t>
        </is>
      </c>
      <c r="B454" s="5" t="inlineStr">
        <is>
          <t>[00031897] LAXATROL 50/8.60MG 100TAB</t>
        </is>
      </c>
      <c r="C454" s="5" t="inlineStr">
        <is>
          <t>دواء</t>
        </is>
      </c>
      <c r="D454" s="13" t="inlineStr">
        <is>
          <t>06285128013178</t>
        </is>
      </c>
      <c r="E454" s="14">
        <f>L454-K454</f>
        <v/>
      </c>
      <c r="F454" s="14" t="n">
        <v>0</v>
      </c>
      <c r="G454" s="14">
        <f>F454-E454</f>
        <v/>
      </c>
      <c r="H454" s="7" t="n">
        <v>42.9</v>
      </c>
      <c r="I454" s="7">
        <f>G454*H454</f>
        <v/>
      </c>
      <c r="J454" s="16" t="inlineStr">
        <is>
          <t>لم يُجرد</t>
        </is>
      </c>
      <c r="K454" s="14" t="n">
        <v>0</v>
      </c>
      <c r="L454" s="14" t="n">
        <v>9</v>
      </c>
      <c r="M454" s="5" t="inlineStr"/>
      <c r="N454" s="5" t="inlineStr"/>
    </row>
    <row r="455">
      <c r="A455" s="13" t="inlineStr">
        <is>
          <t>00026207</t>
        </is>
      </c>
      <c r="B455" s="5" t="inlineStr">
        <is>
          <t>[00026207] PEXAPAN 5MG 60TAB WASFA</t>
        </is>
      </c>
      <c r="C455" s="5" t="inlineStr">
        <is>
          <t>دواء</t>
        </is>
      </c>
      <c r="D455" s="13" t="inlineStr"/>
      <c r="E455" s="14">
        <f>L455-K455</f>
        <v/>
      </c>
      <c r="F455" s="14" t="n">
        <v>0</v>
      </c>
      <c r="G455" s="14">
        <f>F455-E455</f>
        <v/>
      </c>
      <c r="H455" s="7" t="n">
        <v>231</v>
      </c>
      <c r="I455" s="7">
        <f>G455*H455</f>
        <v/>
      </c>
      <c r="J455" s="16" t="inlineStr">
        <is>
          <t>لم يُجرد</t>
        </is>
      </c>
      <c r="K455" s="14" t="n">
        <v>0</v>
      </c>
      <c r="L455" s="14" t="n">
        <v>1</v>
      </c>
      <c r="M455" s="5" t="inlineStr"/>
      <c r="N455" s="5" t="inlineStr"/>
    </row>
    <row r="456">
      <c r="A456" s="13" t="inlineStr">
        <is>
          <t>00030601</t>
        </is>
      </c>
      <c r="B456" s="5" t="inlineStr">
        <is>
          <t>[00030601] ULTRA FUSION EYE DROPS</t>
        </is>
      </c>
      <c r="C456" s="5" t="inlineStr">
        <is>
          <t>دواء</t>
        </is>
      </c>
      <c r="D456" s="13" t="inlineStr"/>
      <c r="E456" s="14">
        <f>L456-K456</f>
        <v/>
      </c>
      <c r="F456" s="14" t="n">
        <v>0</v>
      </c>
      <c r="G456" s="14">
        <f>F456-E456</f>
        <v/>
      </c>
      <c r="H456" s="7" t="n">
        <v>60.15</v>
      </c>
      <c r="I456" s="7">
        <f>G456*H456</f>
        <v/>
      </c>
      <c r="J456" s="16" t="inlineStr">
        <is>
          <t>لم يُجرد</t>
        </is>
      </c>
      <c r="K456" s="14" t="n">
        <v>0</v>
      </c>
      <c r="L456" s="14" t="n">
        <v>4</v>
      </c>
      <c r="M456" s="5" t="inlineStr"/>
      <c r="N456" s="5" t="inlineStr"/>
    </row>
    <row r="457">
      <c r="A457" s="13" t="inlineStr">
        <is>
          <t>00035564</t>
        </is>
      </c>
      <c r="B457" s="5" t="inlineStr">
        <is>
          <t>[00035564] ANTIKAST 10 MG 30TAB</t>
        </is>
      </c>
      <c r="C457" s="5" t="inlineStr">
        <is>
          <t>دواء</t>
        </is>
      </c>
      <c r="D457" s="13" t="inlineStr">
        <is>
          <t>06251106801044</t>
        </is>
      </c>
      <c r="E457" s="14">
        <f>L457-K457</f>
        <v/>
      </c>
      <c r="F457" s="14" t="n">
        <v>0</v>
      </c>
      <c r="G457" s="14">
        <f>F457-E457</f>
        <v/>
      </c>
      <c r="H457" s="7" t="n">
        <v>40.05</v>
      </c>
      <c r="I457" s="7">
        <f>G457*H457</f>
        <v/>
      </c>
      <c r="J457" s="16" t="inlineStr">
        <is>
          <t>لم يُجرد</t>
        </is>
      </c>
      <c r="K457" s="14" t="n">
        <v>0</v>
      </c>
      <c r="L457" s="14" t="n">
        <v>6</v>
      </c>
      <c r="M457" s="5" t="inlineStr"/>
      <c r="N457" s="5" t="inlineStr"/>
    </row>
    <row r="458">
      <c r="A458" s="13" t="inlineStr">
        <is>
          <t>00043350</t>
        </is>
      </c>
      <c r="B458" s="5" t="inlineStr">
        <is>
          <t>[00043350] LIMITLESS MAGNESIUM 15MG 30TAB</t>
        </is>
      </c>
      <c r="C458" s="5" t="inlineStr">
        <is>
          <t>دواء</t>
        </is>
      </c>
      <c r="D458" s="13" t="inlineStr">
        <is>
          <t>6281000112663</t>
        </is>
      </c>
      <c r="E458" s="14">
        <f>L458-K458</f>
        <v/>
      </c>
      <c r="F458" s="14" t="n">
        <v>0</v>
      </c>
      <c r="G458" s="14">
        <f>F458-E458</f>
        <v/>
      </c>
      <c r="H458" s="7" t="n">
        <v>74</v>
      </c>
      <c r="I458" s="7">
        <f>G458*H458</f>
        <v/>
      </c>
      <c r="J458" s="16" t="inlineStr">
        <is>
          <t>لم يُجرد</t>
        </is>
      </c>
      <c r="K458" s="14" t="n">
        <v>0</v>
      </c>
      <c r="L458" s="14" t="n">
        <v>3</v>
      </c>
      <c r="M458" s="5" t="inlineStr"/>
      <c r="N458" s="5" t="inlineStr"/>
    </row>
    <row r="459">
      <c r="A459" s="13" t="inlineStr">
        <is>
          <t>00020489</t>
        </is>
      </c>
      <c r="B459" s="5" t="inlineStr">
        <is>
          <t>[00020489] AQUAMER PLUS 30ML NASAL SPRAY</t>
        </is>
      </c>
      <c r="C459" s="5" t="inlineStr">
        <is>
          <t>دواء</t>
        </is>
      </c>
      <c r="D459" s="13" t="inlineStr">
        <is>
          <t>8436542625371</t>
        </is>
      </c>
      <c r="E459" s="14">
        <f>L459-K459</f>
        <v/>
      </c>
      <c r="F459" s="14" t="n">
        <v>0</v>
      </c>
      <c r="G459" s="14">
        <f>F459-E459</f>
        <v/>
      </c>
      <c r="H459" s="7" t="n">
        <v>49</v>
      </c>
      <c r="I459" s="7">
        <f>G459*H459</f>
        <v/>
      </c>
      <c r="J459" s="16" t="inlineStr">
        <is>
          <t>لم يُجرد</t>
        </is>
      </c>
      <c r="K459" s="14" t="n">
        <v>0</v>
      </c>
      <c r="L459" s="14" t="n">
        <v>6</v>
      </c>
      <c r="M459" s="5" t="inlineStr"/>
      <c r="N459" s="5" t="inlineStr"/>
    </row>
    <row r="460">
      <c r="A460" s="13" t="inlineStr">
        <is>
          <t>00044353</t>
        </is>
      </c>
      <c r="B460" s="5" t="inlineStr">
        <is>
          <t>[00044353] ARAX PEPTASE 30 CAP 9033</t>
        </is>
      </c>
      <c r="C460" s="5" t="inlineStr">
        <is>
          <t>دواء</t>
        </is>
      </c>
      <c r="D460" s="13" t="inlineStr">
        <is>
          <t>795044249033</t>
        </is>
      </c>
      <c r="E460" s="14">
        <f>L460-K460</f>
        <v/>
      </c>
      <c r="F460" s="14" t="n">
        <v>0</v>
      </c>
      <c r="G460" s="14">
        <f>F460-E460</f>
        <v/>
      </c>
      <c r="H460" s="7" t="n">
        <v>69</v>
      </c>
      <c r="I460" s="7">
        <f>G460*H460</f>
        <v/>
      </c>
      <c r="J460" s="16" t="inlineStr">
        <is>
          <t>لم يُجرد</t>
        </is>
      </c>
      <c r="K460" s="14" t="n">
        <v>0</v>
      </c>
      <c r="L460" s="14" t="n">
        <v>6</v>
      </c>
      <c r="M460" s="5" t="inlineStr"/>
      <c r="N460" s="5" t="inlineStr"/>
    </row>
    <row r="461">
      <c r="A461" s="13" t="inlineStr">
        <is>
          <t>00013820</t>
        </is>
      </c>
      <c r="B461" s="5" t="inlineStr">
        <is>
          <t>[00013820] GLUCARE XR 750MG 60TAB</t>
        </is>
      </c>
      <c r="C461" s="5" t="inlineStr">
        <is>
          <t>دواء</t>
        </is>
      </c>
      <c r="D461" s="13" t="inlineStr"/>
      <c r="E461" s="14">
        <f>L461-K461</f>
        <v/>
      </c>
      <c r="F461" s="14" t="n">
        <v>0</v>
      </c>
      <c r="G461" s="14">
        <f>F461-E461</f>
        <v/>
      </c>
      <c r="H461" s="7" t="n">
        <v>47.5</v>
      </c>
      <c r="I461" s="7">
        <f>G461*H461</f>
        <v/>
      </c>
      <c r="J461" s="16" t="inlineStr">
        <is>
          <t>لم يُجرد</t>
        </is>
      </c>
      <c r="K461" s="14" t="n">
        <v>0</v>
      </c>
      <c r="L461" s="14" t="n">
        <v>5</v>
      </c>
      <c r="M461" s="5" t="inlineStr"/>
      <c r="N461" s="5" t="inlineStr"/>
    </row>
    <row r="462">
      <c r="A462" s="13" t="inlineStr">
        <is>
          <t>00046776</t>
        </is>
      </c>
      <c r="B462" s="5" t="inlineStr">
        <is>
          <t>[00046776] IDREX ALLERGY EYE DROPS 9429</t>
        </is>
      </c>
      <c r="C462" s="5" t="inlineStr">
        <is>
          <t>دواء</t>
        </is>
      </c>
      <c r="D462" s="13" t="inlineStr">
        <is>
          <t>6285085009429</t>
        </is>
      </c>
      <c r="E462" s="14">
        <f>L462-K462</f>
        <v/>
      </c>
      <c r="F462" s="14" t="n">
        <v>0</v>
      </c>
      <c r="G462" s="14">
        <f>F462-E462</f>
        <v/>
      </c>
      <c r="H462" s="7" t="n">
        <v>65</v>
      </c>
      <c r="I462" s="7">
        <f>G462*H462</f>
        <v/>
      </c>
      <c r="J462" s="16" t="inlineStr">
        <is>
          <t>لم يُجرد</t>
        </is>
      </c>
      <c r="K462" s="14" t="n">
        <v>0</v>
      </c>
      <c r="L462" s="14" t="n">
        <v>3</v>
      </c>
      <c r="M462" s="5" t="inlineStr"/>
      <c r="N462" s="5" t="inlineStr"/>
    </row>
    <row r="463">
      <c r="A463" s="13" t="inlineStr">
        <is>
          <t>00019119</t>
        </is>
      </c>
      <c r="B463" s="5" t="inlineStr">
        <is>
          <t>[00019119] CITROXY PLUS  VITC&amp;ZINC  20 EFFE TAB</t>
        </is>
      </c>
      <c r="C463" s="5" t="inlineStr">
        <is>
          <t>دواء</t>
        </is>
      </c>
      <c r="D463" s="13" t="inlineStr">
        <is>
          <t>0618528968582</t>
        </is>
      </c>
      <c r="E463" s="14">
        <f>L463-K463</f>
        <v/>
      </c>
      <c r="F463" s="14" t="n">
        <v>0</v>
      </c>
      <c r="G463" s="14">
        <f>F463-E463</f>
        <v/>
      </c>
      <c r="H463" s="7" t="n">
        <v>39</v>
      </c>
      <c r="I463" s="7">
        <f>G463*H463</f>
        <v/>
      </c>
      <c r="J463" s="16" t="inlineStr">
        <is>
          <t>لم يُجرد</t>
        </is>
      </c>
      <c r="K463" s="14" t="n">
        <v>0</v>
      </c>
      <c r="L463" s="14" t="n">
        <v>14</v>
      </c>
      <c r="M463" s="5" t="inlineStr"/>
      <c r="N463" s="5" t="inlineStr"/>
    </row>
    <row r="464">
      <c r="A464" s="13" t="inlineStr">
        <is>
          <t>00041089</t>
        </is>
      </c>
      <c r="B464" s="5" t="inlineStr">
        <is>
          <t>[00041089] LACTEEZ 20ML402  DROPS JR.PH</t>
        </is>
      </c>
      <c r="C464" s="5" t="inlineStr">
        <is>
          <t>دواء</t>
        </is>
      </c>
      <c r="D464" s="13" t="inlineStr">
        <is>
          <t>795697003402</t>
        </is>
      </c>
      <c r="E464" s="14">
        <f>L464-K464</f>
        <v/>
      </c>
      <c r="F464" s="14" t="n">
        <v>0</v>
      </c>
      <c r="G464" s="14">
        <f>F464-E464</f>
        <v/>
      </c>
      <c r="H464" s="7" t="n">
        <v>65</v>
      </c>
      <c r="I464" s="7">
        <f>G464*H464</f>
        <v/>
      </c>
      <c r="J464" s="16" t="inlineStr">
        <is>
          <t>لم يُجرد</t>
        </is>
      </c>
      <c r="K464" s="14" t="n">
        <v>0</v>
      </c>
      <c r="L464" s="14" t="n">
        <v>3</v>
      </c>
      <c r="M464" s="5" t="inlineStr"/>
      <c r="N464" s="5" t="inlineStr"/>
    </row>
    <row r="465">
      <c r="A465" s="13" t="inlineStr">
        <is>
          <t>00044317</t>
        </is>
      </c>
      <c r="B465" s="5" t="inlineStr">
        <is>
          <t>[00044317] ARENA 150 MG 30 TAB WASFA</t>
        </is>
      </c>
      <c r="C465" s="5" t="inlineStr">
        <is>
          <t>دواء</t>
        </is>
      </c>
      <c r="D465" s="13" t="inlineStr">
        <is>
          <t>06285128000123</t>
        </is>
      </c>
      <c r="E465" s="14">
        <f>L465-K465</f>
        <v/>
      </c>
      <c r="F465" s="14" t="n">
        <v>0</v>
      </c>
      <c r="G465" s="14">
        <f>F465-E465</f>
        <v/>
      </c>
      <c r="H465" s="7" t="n">
        <v>45.95</v>
      </c>
      <c r="I465" s="7">
        <f>G465*H465</f>
        <v/>
      </c>
      <c r="J465" s="16" t="inlineStr">
        <is>
          <t>لم يُجرد</t>
        </is>
      </c>
      <c r="K465" s="14" t="n">
        <v>0</v>
      </c>
      <c r="L465" s="14" t="n">
        <v>6</v>
      </c>
      <c r="M465" s="5" t="inlineStr"/>
      <c r="N465" s="5" t="inlineStr"/>
    </row>
    <row r="466">
      <c r="A466" s="13" t="inlineStr">
        <is>
          <t>00036058</t>
        </is>
      </c>
      <c r="B466" s="5" t="inlineStr">
        <is>
          <t>[00036058] SMARTY PURE FISH OIL 30 CAP 8456</t>
        </is>
      </c>
      <c r="C466" s="5" t="inlineStr">
        <is>
          <t>دواء</t>
        </is>
      </c>
      <c r="D466" s="13" t="inlineStr">
        <is>
          <t>795044248456</t>
        </is>
      </c>
      <c r="E466" s="14">
        <f>L466-K466</f>
        <v/>
      </c>
      <c r="F466" s="14" t="n">
        <v>0</v>
      </c>
      <c r="G466" s="14">
        <f>F466-E466</f>
        <v/>
      </c>
      <c r="H466" s="7" t="n">
        <v>75</v>
      </c>
      <c r="I466" s="7">
        <f>G466*H466</f>
        <v/>
      </c>
      <c r="J466" s="16" t="inlineStr">
        <is>
          <t>لم يُجرد</t>
        </is>
      </c>
      <c r="K466" s="14" t="n">
        <v>0</v>
      </c>
      <c r="L466" s="14" t="n">
        <v>6</v>
      </c>
      <c r="M466" s="5" t="inlineStr"/>
      <c r="N466" s="5" t="inlineStr"/>
    </row>
    <row r="467">
      <c r="A467" s="13" t="inlineStr">
        <is>
          <t>00026805</t>
        </is>
      </c>
      <c r="B467" s="5" t="inlineStr">
        <is>
          <t>[00026805] MUSTELA  WIPES 70PCS 1+1 7679</t>
        </is>
      </c>
      <c r="C467" s="5" t="inlineStr">
        <is>
          <t>دواء</t>
        </is>
      </c>
      <c r="D467" s="13" t="inlineStr">
        <is>
          <t>705632797679</t>
        </is>
      </c>
      <c r="E467" s="14">
        <f>L467-K467</f>
        <v/>
      </c>
      <c r="F467" s="14" t="n">
        <v>0</v>
      </c>
      <c r="G467" s="14">
        <f>F467-E467</f>
        <v/>
      </c>
      <c r="H467" s="7" t="n">
        <v>79</v>
      </c>
      <c r="I467" s="7">
        <f>G467*H467</f>
        <v/>
      </c>
      <c r="J467" s="16" t="inlineStr">
        <is>
          <t>لم يُجرد</t>
        </is>
      </c>
      <c r="K467" s="14" t="n">
        <v>0</v>
      </c>
      <c r="L467" s="14" t="n">
        <v>3</v>
      </c>
      <c r="M467" s="5" t="inlineStr"/>
      <c r="N467" s="5" t="inlineStr"/>
    </row>
    <row r="468">
      <c r="A468" s="13" t="inlineStr">
        <is>
          <t>0005363</t>
        </is>
      </c>
      <c r="B468" s="5" t="inlineStr">
        <is>
          <t>[0005363] OPTIPRED 1% OPHTH DROPS</t>
        </is>
      </c>
      <c r="C468" s="5" t="inlineStr">
        <is>
          <t>دواء</t>
        </is>
      </c>
      <c r="D468" s="13" t="inlineStr"/>
      <c r="E468" s="14">
        <f>L468-K468</f>
        <v/>
      </c>
      <c r="F468" s="14" t="n">
        <v>0</v>
      </c>
      <c r="G468" s="14">
        <f>F468-E468</f>
        <v/>
      </c>
      <c r="H468" s="7" t="n">
        <v>14.45</v>
      </c>
      <c r="I468" s="7">
        <f>G468*H468</f>
        <v/>
      </c>
      <c r="J468" s="16" t="inlineStr">
        <is>
          <t>لم يُجرد</t>
        </is>
      </c>
      <c r="K468" s="14" t="n">
        <v>0</v>
      </c>
      <c r="L468" s="14" t="n">
        <v>16</v>
      </c>
      <c r="M468" s="5" t="inlineStr"/>
      <c r="N468" s="5" t="inlineStr"/>
    </row>
    <row r="469">
      <c r="A469" s="13" t="inlineStr">
        <is>
          <t>00032968</t>
        </is>
      </c>
      <c r="B469" s="5" t="inlineStr">
        <is>
          <t>[00032968] HYALEZ OPTH SOLUTION 93791</t>
        </is>
      </c>
      <c r="C469" s="5" t="inlineStr">
        <is>
          <t>دواء</t>
        </is>
      </c>
      <c r="D469" s="13" t="inlineStr">
        <is>
          <t>0602024193791</t>
        </is>
      </c>
      <c r="E469" s="14">
        <f>L469-K469</f>
        <v/>
      </c>
      <c r="F469" s="14" t="n">
        <v>0</v>
      </c>
      <c r="G469" s="14">
        <f>F469-E469</f>
        <v/>
      </c>
      <c r="H469" s="7" t="n">
        <v>57.6</v>
      </c>
      <c r="I469" s="7">
        <f>G469*H469</f>
        <v/>
      </c>
      <c r="J469" s="16" t="inlineStr">
        <is>
          <t>لم يُجرد</t>
        </is>
      </c>
      <c r="K469" s="14" t="n">
        <v>0</v>
      </c>
      <c r="L469" s="14" t="n">
        <v>4</v>
      </c>
      <c r="M469" s="5" t="inlineStr"/>
      <c r="N469" s="5" t="inlineStr"/>
    </row>
    <row r="470">
      <c r="A470" s="13" t="inlineStr">
        <is>
          <t>0004934</t>
        </is>
      </c>
      <c r="B470" s="5" t="inlineStr">
        <is>
          <t>[0004934] SEROQUEL 100MG 60TAB</t>
        </is>
      </c>
      <c r="C470" s="5" t="inlineStr">
        <is>
          <t>دواء</t>
        </is>
      </c>
      <c r="D470" s="13" t="inlineStr">
        <is>
          <t>01050004560063232128</t>
        </is>
      </c>
      <c r="E470" s="14">
        <f>L470-K470</f>
        <v/>
      </c>
      <c r="F470" s="14" t="n">
        <v>0</v>
      </c>
      <c r="G470" s="14">
        <f>F470-E470</f>
        <v/>
      </c>
      <c r="H470" s="7" t="n">
        <v>110.3</v>
      </c>
      <c r="I470" s="7">
        <f>G470*H470</f>
        <v/>
      </c>
      <c r="J470" s="16" t="inlineStr">
        <is>
          <t>لم يُجرد</t>
        </is>
      </c>
      <c r="K470" s="14" t="n">
        <v>0</v>
      </c>
      <c r="L470" s="14" t="n">
        <v>2</v>
      </c>
      <c r="M470" s="5" t="inlineStr"/>
      <c r="N470" s="5" t="inlineStr"/>
    </row>
    <row r="471">
      <c r="A471" s="13" t="inlineStr">
        <is>
          <t>00031402</t>
        </is>
      </c>
      <c r="B471" s="5" t="inlineStr">
        <is>
          <t>[00031402] THE BEST GUARD LIQUID CLEANSER 250ML</t>
        </is>
      </c>
      <c r="C471" s="5" t="inlineStr">
        <is>
          <t>دواء</t>
        </is>
      </c>
      <c r="D471" s="13" t="inlineStr">
        <is>
          <t>6287002331835</t>
        </is>
      </c>
      <c r="E471" s="14">
        <f>L471-K471</f>
        <v/>
      </c>
      <c r="F471" s="14" t="n">
        <v>0</v>
      </c>
      <c r="G471" s="14">
        <f>F471-E471</f>
        <v/>
      </c>
      <c r="H471" s="7" t="n">
        <v>89</v>
      </c>
      <c r="I471" s="7">
        <f>G471*H471</f>
        <v/>
      </c>
      <c r="J471" s="16" t="inlineStr">
        <is>
          <t>لم يُجرد</t>
        </is>
      </c>
      <c r="K471" s="14" t="n">
        <v>0</v>
      </c>
      <c r="L471" s="14" t="n">
        <v>5</v>
      </c>
      <c r="M471" s="5" t="inlineStr"/>
      <c r="N471" s="5" t="inlineStr"/>
    </row>
    <row r="472">
      <c r="A472" s="13" t="inlineStr">
        <is>
          <t>00028389</t>
        </is>
      </c>
      <c r="B472" s="5" t="inlineStr">
        <is>
          <t>[00028389] MOTOVA C ADVANCED FEMAL 5G*30 SACHET</t>
        </is>
      </c>
      <c r="C472" s="5" t="inlineStr">
        <is>
          <t>دواء</t>
        </is>
      </c>
      <c r="D472" s="13" t="inlineStr">
        <is>
          <t>618528968629</t>
        </is>
      </c>
      <c r="E472" s="14">
        <f>L472-K472</f>
        <v/>
      </c>
      <c r="F472" s="14" t="n">
        <v>0</v>
      </c>
      <c r="G472" s="14">
        <f>F472-E472</f>
        <v/>
      </c>
      <c r="H472" s="7" t="n">
        <v>300</v>
      </c>
      <c r="I472" s="7">
        <f>G472*H472</f>
        <v/>
      </c>
      <c r="J472" s="16" t="inlineStr">
        <is>
          <t>لم يُجرد</t>
        </is>
      </c>
      <c r="K472" s="14" t="n">
        <v>0</v>
      </c>
      <c r="L472" s="14" t="n">
        <v>1</v>
      </c>
      <c r="M472" s="5" t="inlineStr"/>
      <c r="N472" s="5" t="inlineStr"/>
    </row>
    <row r="473">
      <c r="A473" s="13" t="inlineStr">
        <is>
          <t>0004743</t>
        </is>
      </c>
      <c r="B473" s="5" t="inlineStr">
        <is>
          <t>[0004743] SYSTANE ULTRA 0.7% 30ML EYE DROPS</t>
        </is>
      </c>
      <c r="C473" s="5" t="inlineStr">
        <is>
          <t>دواء</t>
        </is>
      </c>
      <c r="D473" s="13" t="inlineStr">
        <is>
          <t>05413895042218</t>
        </is>
      </c>
      <c r="E473" s="14">
        <f>L473-K473</f>
        <v/>
      </c>
      <c r="F473" s="14" t="n">
        <v>0</v>
      </c>
      <c r="G473" s="14">
        <f>F473-E473</f>
        <v/>
      </c>
      <c r="H473" s="7" t="n">
        <v>47.8</v>
      </c>
      <c r="I473" s="7">
        <f>G473*H473</f>
        <v/>
      </c>
      <c r="J473" s="16" t="inlineStr">
        <is>
          <t>لم يُجرد</t>
        </is>
      </c>
      <c r="K473" s="14" t="n">
        <v>0</v>
      </c>
      <c r="L473" s="14" t="n">
        <v>5</v>
      </c>
      <c r="M473" s="5" t="inlineStr"/>
      <c r="N473" s="5" t="inlineStr"/>
    </row>
    <row r="474">
      <c r="A474" s="13" t="inlineStr">
        <is>
          <t>00016384</t>
        </is>
      </c>
      <c r="B474" s="5" t="inlineStr">
        <is>
          <t>[00016384] MOTHERNEST PROPOLIS EUCA. MAN</t>
        </is>
      </c>
      <c r="C474" s="5" t="inlineStr">
        <is>
          <t>دواء</t>
        </is>
      </c>
      <c r="D474" s="13" t="inlineStr">
        <is>
          <t>9327155005973</t>
        </is>
      </c>
      <c r="E474" s="14">
        <f>L474-K474</f>
        <v/>
      </c>
      <c r="F474" s="14" t="n">
        <v>0</v>
      </c>
      <c r="G474" s="14">
        <f>F474-E474</f>
        <v/>
      </c>
      <c r="H474" s="7" t="n">
        <v>30</v>
      </c>
      <c r="I474" s="7">
        <f>G474*H474</f>
        <v/>
      </c>
      <c r="J474" s="16" t="inlineStr">
        <is>
          <t>لم يُجرد</t>
        </is>
      </c>
      <c r="K474" s="14" t="n">
        <v>0</v>
      </c>
      <c r="L474" s="14" t="n">
        <v>10</v>
      </c>
      <c r="M474" s="5" t="inlineStr"/>
      <c r="N474" s="5" t="inlineStr"/>
    </row>
    <row r="475">
      <c r="A475" s="13" t="inlineStr">
        <is>
          <t>0004997</t>
        </is>
      </c>
      <c r="B475" s="5" t="inlineStr">
        <is>
          <t>[0004997] ROMIN COUGH SYRUP 120ML</t>
        </is>
      </c>
      <c r="C475" s="5" t="inlineStr">
        <is>
          <t>دواء</t>
        </is>
      </c>
      <c r="D475" s="13" t="inlineStr">
        <is>
          <t>06285101000669</t>
        </is>
      </c>
      <c r="E475" s="14">
        <f>L475-K475</f>
        <v/>
      </c>
      <c r="F475" s="14" t="n">
        <v>0</v>
      </c>
      <c r="G475" s="14">
        <f>F475-E475</f>
        <v/>
      </c>
      <c r="H475" s="7" t="n">
        <v>11.5</v>
      </c>
      <c r="I475" s="7">
        <f>G475*H475</f>
        <v/>
      </c>
      <c r="J475" s="16" t="inlineStr">
        <is>
          <t>لم يُجرد</t>
        </is>
      </c>
      <c r="K475" s="14" t="n">
        <v>0</v>
      </c>
      <c r="L475" s="14" t="n">
        <v>20</v>
      </c>
      <c r="M475" s="5" t="inlineStr"/>
      <c r="N475" s="5" t="inlineStr"/>
    </row>
    <row r="476">
      <c r="A476" s="13" t="inlineStr">
        <is>
          <t>0004425</t>
        </is>
      </c>
      <c r="B476" s="5" t="inlineStr">
        <is>
          <t>[0004425] BIOFREEZE SPRAY 118ML SPRAY</t>
        </is>
      </c>
      <c r="C476" s="5" t="inlineStr">
        <is>
          <t>دواء</t>
        </is>
      </c>
      <c r="D476" s="13" t="inlineStr"/>
      <c r="E476" s="14">
        <f>L476-K476</f>
        <v/>
      </c>
      <c r="F476" s="14" t="n">
        <v>0</v>
      </c>
      <c r="G476" s="14">
        <f>F476-E476</f>
        <v/>
      </c>
      <c r="H476" s="7" t="n">
        <v>74.95</v>
      </c>
      <c r="I476" s="7">
        <f>G476*H476</f>
        <v/>
      </c>
      <c r="J476" s="16" t="inlineStr">
        <is>
          <t>لم يُجرد</t>
        </is>
      </c>
      <c r="K476" s="14" t="n">
        <v>0</v>
      </c>
      <c r="L476" s="14" t="n">
        <v>3</v>
      </c>
      <c r="M476" s="5" t="inlineStr"/>
      <c r="N476" s="5" t="inlineStr"/>
    </row>
    <row r="477">
      <c r="A477" s="13" t="inlineStr">
        <is>
          <t>00048708</t>
        </is>
      </c>
      <c r="B477" s="5" t="inlineStr">
        <is>
          <t>[00048708] AFOMILL REFRESH EYE DROPS 4664</t>
        </is>
      </c>
      <c r="C477" s="5" t="inlineStr">
        <is>
          <t>دواء</t>
        </is>
      </c>
      <c r="D477" s="13" t="inlineStr">
        <is>
          <t>8058363614664</t>
        </is>
      </c>
      <c r="E477" s="14">
        <f>L477-K477</f>
        <v/>
      </c>
      <c r="F477" s="14" t="n">
        <v>0</v>
      </c>
      <c r="G477" s="14">
        <f>F477-E477</f>
        <v/>
      </c>
      <c r="H477" s="7" t="n">
        <v>79</v>
      </c>
      <c r="I477" s="7">
        <f>G477*H477</f>
        <v/>
      </c>
      <c r="J477" s="16" t="inlineStr">
        <is>
          <t>لم يُجرد</t>
        </is>
      </c>
      <c r="K477" s="14" t="n">
        <v>0</v>
      </c>
      <c r="L477" s="14" t="n">
        <v>4</v>
      </c>
      <c r="M477" s="5" t="inlineStr"/>
      <c r="N477" s="5" t="inlineStr"/>
    </row>
    <row r="478">
      <c r="A478" s="13" t="inlineStr">
        <is>
          <t>00048711</t>
        </is>
      </c>
      <c r="B478" s="5" t="inlineStr">
        <is>
          <t>[00048711] IRILENS EYE DROPS 2454 NQ</t>
        </is>
      </c>
      <c r="C478" s="5" t="inlineStr">
        <is>
          <t>دواء</t>
        </is>
      </c>
      <c r="D478" s="13" t="inlineStr">
        <is>
          <t>8058363622454</t>
        </is>
      </c>
      <c r="E478" s="14">
        <f>L478-K478</f>
        <v/>
      </c>
      <c r="F478" s="14" t="n">
        <v>0</v>
      </c>
      <c r="G478" s="14">
        <f>F478-E478</f>
        <v/>
      </c>
      <c r="H478" s="7" t="n">
        <v>79</v>
      </c>
      <c r="I478" s="7">
        <f>G478*H478</f>
        <v/>
      </c>
      <c r="J478" s="16" t="inlineStr">
        <is>
          <t>لم يُجرد</t>
        </is>
      </c>
      <c r="K478" s="14" t="n">
        <v>0</v>
      </c>
      <c r="L478" s="14" t="n">
        <v>4</v>
      </c>
      <c r="M478" s="5" t="inlineStr"/>
      <c r="N478" s="5" t="inlineStr"/>
    </row>
    <row r="479">
      <c r="A479" s="13" t="inlineStr">
        <is>
          <t>00029289</t>
        </is>
      </c>
      <c r="B479" s="5" t="inlineStr">
        <is>
          <t>[00029289] LIFANCE 10 MG TAB</t>
        </is>
      </c>
      <c r="C479" s="5" t="inlineStr">
        <is>
          <t>دواء</t>
        </is>
      </c>
      <c r="D479" s="13" t="inlineStr"/>
      <c r="E479" s="14">
        <f>L479-K479</f>
        <v/>
      </c>
      <c r="F479" s="14" t="n">
        <v>0</v>
      </c>
      <c r="G479" s="14">
        <f>F479-E479</f>
        <v/>
      </c>
      <c r="H479" s="7" t="n">
        <v>108.9</v>
      </c>
      <c r="I479" s="7">
        <f>G479*H479</f>
        <v/>
      </c>
      <c r="J479" s="16" t="inlineStr">
        <is>
          <t>لم يُجرد</t>
        </is>
      </c>
      <c r="K479" s="14" t="n">
        <v>0</v>
      </c>
      <c r="L479" s="14" t="n">
        <v>2</v>
      </c>
      <c r="M479" s="5" t="inlineStr"/>
      <c r="N479" s="5" t="inlineStr"/>
    </row>
    <row r="480">
      <c r="A480" s="13" t="inlineStr">
        <is>
          <t>00025764</t>
        </is>
      </c>
      <c r="B480" s="5" t="inlineStr">
        <is>
          <t>[00025764] MOUNJARO 10</t>
        </is>
      </c>
      <c r="C480" s="5" t="inlineStr">
        <is>
          <t>دواء</t>
        </is>
      </c>
      <c r="D480" s="13" t="inlineStr"/>
      <c r="E480" s="14">
        <f>L480-K480</f>
        <v/>
      </c>
      <c r="F480" s="14" t="n">
        <v>0</v>
      </c>
      <c r="G480" s="14">
        <f>F480-E480</f>
        <v/>
      </c>
      <c r="H480" s="7" t="n">
        <v>1261.4</v>
      </c>
      <c r="I480" s="7">
        <f>G480*H480</f>
        <v/>
      </c>
      <c r="J480" s="16" t="inlineStr">
        <is>
          <t>لم يُجرد</t>
        </is>
      </c>
      <c r="K480" s="14" t="n">
        <v>0</v>
      </c>
      <c r="L480" s="14" t="n">
        <v>2</v>
      </c>
      <c r="M480" s="5" t="inlineStr"/>
      <c r="N480" s="5" t="inlineStr"/>
    </row>
    <row r="481">
      <c r="A481" s="13" t="inlineStr">
        <is>
          <t>0003281</t>
        </is>
      </c>
      <c r="B481" s="5" t="inlineStr">
        <is>
          <t>[0003281] LEVOX 750MG 5TAB</t>
        </is>
      </c>
      <c r="C481" s="5" t="inlineStr">
        <is>
          <t>دواء</t>
        </is>
      </c>
      <c r="D481" s="13" t="inlineStr">
        <is>
          <t>01062810860027421010</t>
        </is>
      </c>
      <c r="E481" s="14">
        <f>L481-K481</f>
        <v/>
      </c>
      <c r="F481" s="14" t="n">
        <v>0</v>
      </c>
      <c r="G481" s="14">
        <f>F481-E481</f>
        <v/>
      </c>
      <c r="H481" s="7" t="n">
        <v>71.95</v>
      </c>
      <c r="I481" s="7">
        <f>G481*H481</f>
        <v/>
      </c>
      <c r="J481" s="16" t="inlineStr">
        <is>
          <t>لم يُجرد</t>
        </is>
      </c>
      <c r="K481" s="14" t="n">
        <v>0</v>
      </c>
      <c r="L481" s="14" t="n">
        <v>3</v>
      </c>
      <c r="M481" s="5" t="inlineStr"/>
      <c r="N481" s="5" t="inlineStr"/>
    </row>
    <row r="482">
      <c r="A482" s="13" t="inlineStr">
        <is>
          <t>00046775</t>
        </is>
      </c>
      <c r="B482" s="5" t="inlineStr">
        <is>
          <t>[00046775] IDREX HYPERTONIC N.SPRAY 20ML 9405</t>
        </is>
      </c>
      <c r="C482" s="5" t="inlineStr">
        <is>
          <t>دواء</t>
        </is>
      </c>
      <c r="D482" s="13" t="inlineStr">
        <is>
          <t>6285085009405</t>
        </is>
      </c>
      <c r="E482" s="14">
        <f>L482-K482</f>
        <v/>
      </c>
      <c r="F482" s="14" t="n">
        <v>0</v>
      </c>
      <c r="G482" s="14">
        <f>F482-E482</f>
        <v/>
      </c>
      <c r="H482" s="7" t="n">
        <v>75</v>
      </c>
      <c r="I482" s="7">
        <f>G482*H482</f>
        <v/>
      </c>
      <c r="J482" s="16" t="inlineStr">
        <is>
          <t>لم يُجرد</t>
        </is>
      </c>
      <c r="K482" s="14" t="n">
        <v>0</v>
      </c>
      <c r="L482" s="14" t="n">
        <v>3</v>
      </c>
      <c r="M482" s="5" t="inlineStr"/>
      <c r="N482" s="5" t="inlineStr"/>
    </row>
    <row r="483">
      <c r="A483" s="13" t="inlineStr">
        <is>
          <t>0003576</t>
        </is>
      </c>
      <c r="B483" s="5" t="inlineStr">
        <is>
          <t>[0003576] GLIM 3MG 30 TAB</t>
        </is>
      </c>
      <c r="C483" s="5" t="inlineStr">
        <is>
          <t>دواء</t>
        </is>
      </c>
      <c r="D483" s="13" t="inlineStr">
        <is>
          <t>06281086012345</t>
        </is>
      </c>
      <c r="E483" s="14">
        <f>L483-K483</f>
        <v/>
      </c>
      <c r="F483" s="14" t="n">
        <v>0</v>
      </c>
      <c r="G483" s="14">
        <f>F483-E483</f>
        <v/>
      </c>
      <c r="H483" s="7" t="n">
        <v>44.8</v>
      </c>
      <c r="I483" s="7">
        <f>G483*H483</f>
        <v/>
      </c>
      <c r="J483" s="16" t="inlineStr">
        <is>
          <t>لم يُجرد</t>
        </is>
      </c>
      <c r="K483" s="14" t="n">
        <v>0</v>
      </c>
      <c r="L483" s="14" t="n">
        <v>5</v>
      </c>
      <c r="M483" s="5" t="inlineStr"/>
      <c r="N483" s="5" t="inlineStr"/>
    </row>
    <row r="484">
      <c r="A484" s="13" t="inlineStr">
        <is>
          <t>0003309</t>
        </is>
      </c>
      <c r="B484" s="5" t="inlineStr">
        <is>
          <t>[0003309] ARKO VALERIAN 45CAPS</t>
        </is>
      </c>
      <c r="C484" s="5" t="inlineStr">
        <is>
          <t>دواء</t>
        </is>
      </c>
      <c r="D484" s="13" t="inlineStr">
        <is>
          <t>3578830110604</t>
        </is>
      </c>
      <c r="E484" s="14">
        <f>L484-K484</f>
        <v/>
      </c>
      <c r="F484" s="14" t="n">
        <v>0</v>
      </c>
      <c r="G484" s="14">
        <f>F484-E484</f>
        <v/>
      </c>
      <c r="H484" s="7" t="n">
        <v>65</v>
      </c>
      <c r="I484" s="7">
        <f>G484*H484</f>
        <v/>
      </c>
      <c r="J484" s="16" t="inlineStr">
        <is>
          <t>لم يُجرد</t>
        </is>
      </c>
      <c r="K484" s="14" t="n">
        <v>0</v>
      </c>
      <c r="L484" s="14" t="n">
        <v>5</v>
      </c>
      <c r="M484" s="5" t="inlineStr"/>
      <c r="N484" s="5" t="inlineStr"/>
    </row>
    <row r="485">
      <c r="A485" s="13" t="inlineStr">
        <is>
          <t>0005452</t>
        </is>
      </c>
      <c r="B485" s="5" t="inlineStr">
        <is>
          <t>[0005452] QUEEN JELLY ROYAL+NIGELLA+GARLIC 30CAP</t>
        </is>
      </c>
      <c r="C485" s="5" t="inlineStr">
        <is>
          <t>دواء</t>
        </is>
      </c>
      <c r="D485" s="13" t="inlineStr">
        <is>
          <t>714654884021</t>
        </is>
      </c>
      <c r="E485" s="14">
        <f>L485-K485</f>
        <v/>
      </c>
      <c r="F485" s="14" t="n">
        <v>0</v>
      </c>
      <c r="G485" s="14">
        <f>F485-E485</f>
        <v/>
      </c>
      <c r="H485" s="7" t="n">
        <v>159</v>
      </c>
      <c r="I485" s="7">
        <f>G485*H485</f>
        <v/>
      </c>
      <c r="J485" s="16" t="inlineStr">
        <is>
          <t>لم يُجرد</t>
        </is>
      </c>
      <c r="K485" s="14" t="n">
        <v>0</v>
      </c>
      <c r="L485" s="14" t="n">
        <v>2</v>
      </c>
      <c r="M485" s="5" t="inlineStr"/>
      <c r="N485" s="5" t="inlineStr"/>
    </row>
    <row r="486">
      <c r="A486" s="13" t="inlineStr">
        <is>
          <t>00012857</t>
        </is>
      </c>
      <c r="B486" s="5" t="inlineStr">
        <is>
          <t>[00012857] JP VIVAMUNE 250 MG CAP</t>
        </is>
      </c>
      <c r="C486" s="5" t="inlineStr">
        <is>
          <t>دواء</t>
        </is>
      </c>
      <c r="D486" s="13" t="inlineStr">
        <is>
          <t>010628512800205910um</t>
        </is>
      </c>
      <c r="E486" s="14">
        <f>L486-K486</f>
        <v/>
      </c>
      <c r="F486" s="14" t="n">
        <v>0</v>
      </c>
      <c r="G486" s="14">
        <f>F486-E486</f>
        <v/>
      </c>
      <c r="H486" s="7" t="n">
        <v>73</v>
      </c>
      <c r="I486" s="7">
        <f>G486*H486</f>
        <v/>
      </c>
      <c r="J486" s="16" t="inlineStr">
        <is>
          <t>لم يُجرد</t>
        </is>
      </c>
      <c r="K486" s="14" t="n">
        <v>0</v>
      </c>
      <c r="L486" s="14" t="n">
        <v>3</v>
      </c>
      <c r="M486" s="5" t="inlineStr"/>
      <c r="N486" s="5" t="inlineStr"/>
    </row>
    <row r="487">
      <c r="A487" s="13" t="inlineStr">
        <is>
          <t>00046696</t>
        </is>
      </c>
      <c r="B487" s="5" t="inlineStr">
        <is>
          <t>[00046696] GENGIGEL HYALURONIC A GINGIVAL GEL 20ML</t>
        </is>
      </c>
      <c r="C487" s="5" t="inlineStr">
        <is>
          <t>دواء</t>
        </is>
      </c>
      <c r="D487" s="13" t="inlineStr">
        <is>
          <t>8033087660012</t>
        </is>
      </c>
      <c r="E487" s="14">
        <f>L487-K487</f>
        <v/>
      </c>
      <c r="F487" s="14" t="n">
        <v>0</v>
      </c>
      <c r="G487" s="14">
        <f>F487-E487</f>
        <v/>
      </c>
      <c r="H487" s="7" t="n">
        <v>65</v>
      </c>
      <c r="I487" s="7">
        <f>G487*H487</f>
        <v/>
      </c>
      <c r="J487" s="16" t="inlineStr">
        <is>
          <t>لم يُجرد</t>
        </is>
      </c>
      <c r="K487" s="14" t="n">
        <v>0</v>
      </c>
      <c r="L487" s="14" t="n">
        <v>4</v>
      </c>
      <c r="M487" s="5" t="inlineStr"/>
      <c r="N487" s="5" t="inlineStr"/>
    </row>
    <row r="488">
      <c r="A488" s="13" t="inlineStr">
        <is>
          <t>00014544</t>
        </is>
      </c>
      <c r="B488" s="5" t="inlineStr">
        <is>
          <t>[00014544] MULTIVIAMINE + OMEGA 3 MOTHERNEST CANDY</t>
        </is>
      </c>
      <c r="C488" s="5" t="inlineStr">
        <is>
          <t>دواء</t>
        </is>
      </c>
      <c r="D488" s="13" t="inlineStr">
        <is>
          <t>9327155005690</t>
        </is>
      </c>
      <c r="E488" s="14">
        <f>L488-K488</f>
        <v/>
      </c>
      <c r="F488" s="14" t="n">
        <v>0</v>
      </c>
      <c r="G488" s="14">
        <f>F488-E488</f>
        <v/>
      </c>
      <c r="H488" s="7" t="n">
        <v>115</v>
      </c>
      <c r="I488" s="7">
        <f>G488*H488</f>
        <v/>
      </c>
      <c r="J488" s="16" t="inlineStr">
        <is>
          <t>لم يُجرد</t>
        </is>
      </c>
      <c r="K488" s="14" t="n">
        <v>0</v>
      </c>
      <c r="L488" s="14" t="n">
        <v>3</v>
      </c>
      <c r="M488" s="5" t="inlineStr"/>
      <c r="N488" s="5" t="inlineStr"/>
    </row>
    <row r="489">
      <c r="A489" s="13" t="inlineStr">
        <is>
          <t>0003326</t>
        </is>
      </c>
      <c r="B489" s="5" t="inlineStr">
        <is>
          <t>[0003326] LAMIFEN 250 MG 7 TAB</t>
        </is>
      </c>
      <c r="C489" s="5" t="inlineStr">
        <is>
          <t>دواء</t>
        </is>
      </c>
      <c r="D489" s="13" t="inlineStr">
        <is>
          <t>010628512800051210UG</t>
        </is>
      </c>
      <c r="E489" s="14">
        <f>L489-K489</f>
        <v/>
      </c>
      <c r="F489" s="14" t="n">
        <v>0</v>
      </c>
      <c r="G489" s="14">
        <f>F489-E489</f>
        <v/>
      </c>
      <c r="H489" s="7" t="n">
        <v>34.4</v>
      </c>
      <c r="I489" s="7">
        <f>G489*H489</f>
        <v/>
      </c>
      <c r="J489" s="16" t="inlineStr">
        <is>
          <t>لم يُجرد</t>
        </is>
      </c>
      <c r="K489" s="14" t="n">
        <v>0</v>
      </c>
      <c r="L489" s="14" t="n">
        <v>8</v>
      </c>
      <c r="M489" s="5" t="inlineStr"/>
      <c r="N489" s="5" t="inlineStr"/>
    </row>
    <row r="490">
      <c r="A490" s="13" t="inlineStr">
        <is>
          <t>00014864</t>
        </is>
      </c>
      <c r="B490" s="5" t="inlineStr">
        <is>
          <t>[00014864] AVILOP 100 ML SYP</t>
        </is>
      </c>
      <c r="C490" s="5" t="inlineStr">
        <is>
          <t>دواء</t>
        </is>
      </c>
      <c r="D490" s="13" t="inlineStr">
        <is>
          <t>6251107425768</t>
        </is>
      </c>
      <c r="E490" s="14">
        <f>L490-K490</f>
        <v/>
      </c>
      <c r="F490" s="14" t="n">
        <v>0</v>
      </c>
      <c r="G490" s="14">
        <f>F490-E490</f>
        <v/>
      </c>
      <c r="H490" s="7" t="n">
        <v>47.65</v>
      </c>
      <c r="I490" s="7">
        <f>G490*H490</f>
        <v/>
      </c>
      <c r="J490" s="16" t="inlineStr">
        <is>
          <t>لم يُجرد</t>
        </is>
      </c>
      <c r="K490" s="14" t="n">
        <v>0</v>
      </c>
      <c r="L490" s="14" t="n">
        <v>5</v>
      </c>
      <c r="M490" s="5" t="inlineStr"/>
      <c r="N490" s="5" t="inlineStr"/>
    </row>
    <row r="491">
      <c r="A491" s="13" t="inlineStr">
        <is>
          <t>00012853</t>
        </is>
      </c>
      <c r="B491" s="5" t="inlineStr">
        <is>
          <t>[00012853] AGOUT 80MG 30TAB</t>
        </is>
      </c>
      <c r="C491" s="5" t="inlineStr">
        <is>
          <t>دواء</t>
        </is>
      </c>
      <c r="D491" s="13" t="inlineStr">
        <is>
          <t>06281086012932</t>
        </is>
      </c>
      <c r="E491" s="14">
        <f>L491-K491</f>
        <v/>
      </c>
      <c r="F491" s="14" t="n">
        <v>0</v>
      </c>
      <c r="G491" s="14">
        <f>F491-E491</f>
        <v/>
      </c>
      <c r="H491" s="7" t="n">
        <v>106</v>
      </c>
      <c r="I491" s="7">
        <f>G491*H491</f>
        <v/>
      </c>
      <c r="J491" s="16" t="inlineStr">
        <is>
          <t>لم يُجرد</t>
        </is>
      </c>
      <c r="K491" s="14" t="n">
        <v>0</v>
      </c>
      <c r="L491" s="14" t="n">
        <v>2</v>
      </c>
      <c r="M491" s="5" t="inlineStr"/>
      <c r="N491" s="5" t="inlineStr"/>
    </row>
    <row r="492">
      <c r="A492" s="13" t="inlineStr">
        <is>
          <t>00012909</t>
        </is>
      </c>
      <c r="B492" s="5" t="inlineStr">
        <is>
          <t>[00012909] SEVIKAR 20/5 MG TAB</t>
        </is>
      </c>
      <c r="C492" s="5" t="inlineStr">
        <is>
          <t>دواء</t>
        </is>
      </c>
      <c r="D492" s="13" t="inlineStr">
        <is>
          <t>01062850940003181720</t>
        </is>
      </c>
      <c r="E492" s="14">
        <f>L492-K492</f>
        <v/>
      </c>
      <c r="F492" s="14" t="n">
        <v>0</v>
      </c>
      <c r="G492" s="14">
        <f>F492-E492</f>
        <v/>
      </c>
      <c r="H492" s="7" t="n">
        <v>70.59999999999999</v>
      </c>
      <c r="I492" s="7">
        <f>G492*H492</f>
        <v/>
      </c>
      <c r="J492" s="16" t="inlineStr">
        <is>
          <t>لم يُجرد</t>
        </is>
      </c>
      <c r="K492" s="14" t="n">
        <v>0</v>
      </c>
      <c r="L492" s="14" t="n">
        <v>3</v>
      </c>
      <c r="M492" s="5" t="inlineStr"/>
      <c r="N492" s="5" t="inlineStr"/>
    </row>
    <row r="493">
      <c r="A493" s="13" t="inlineStr">
        <is>
          <t>0005051</t>
        </is>
      </c>
      <c r="B493" s="5" t="inlineStr">
        <is>
          <t>[0005051] ROFENAC 25 MG SUPPS</t>
        </is>
      </c>
      <c r="C493" s="5" t="inlineStr">
        <is>
          <t>دواء</t>
        </is>
      </c>
      <c r="D493" s="13" t="inlineStr">
        <is>
          <t>06281086012161</t>
        </is>
      </c>
      <c r="E493" s="14">
        <f>L493-K493</f>
        <v/>
      </c>
      <c r="F493" s="14" t="n">
        <v>0</v>
      </c>
      <c r="G493" s="14">
        <f>F493-E493</f>
        <v/>
      </c>
      <c r="H493" s="7" t="n">
        <v>12.25</v>
      </c>
      <c r="I493" s="7">
        <f>G493*H493</f>
        <v/>
      </c>
      <c r="J493" s="16" t="inlineStr">
        <is>
          <t>لم يُجرد</t>
        </is>
      </c>
      <c r="K493" s="14" t="n">
        <v>0</v>
      </c>
      <c r="L493" s="14" t="n">
        <v>18</v>
      </c>
      <c r="M493" s="5" t="inlineStr"/>
      <c r="N493" s="5" t="inlineStr"/>
    </row>
    <row r="494">
      <c r="A494" s="13" t="inlineStr">
        <is>
          <t>00014982</t>
        </is>
      </c>
      <c r="B494" s="5" t="inlineStr">
        <is>
          <t>[00014982] OLENZA OD 10 MG TAB</t>
        </is>
      </c>
      <c r="C494" s="5" t="inlineStr">
        <is>
          <t>دواء</t>
        </is>
      </c>
      <c r="D494" s="13" t="inlineStr"/>
      <c r="E494" s="14">
        <f>L494-K494</f>
        <v/>
      </c>
      <c r="F494" s="14" t="n">
        <v>0</v>
      </c>
      <c r="G494" s="14">
        <f>F494-E494</f>
        <v/>
      </c>
      <c r="H494" s="7" t="n">
        <v>210.5</v>
      </c>
      <c r="I494" s="7">
        <f>G494*H494</f>
        <v/>
      </c>
      <c r="J494" s="16" t="inlineStr">
        <is>
          <t>لم يُجرد</t>
        </is>
      </c>
      <c r="K494" s="14" t="n">
        <v>0</v>
      </c>
      <c r="L494" s="14" t="n">
        <v>1</v>
      </c>
      <c r="M494" s="5" t="inlineStr"/>
      <c r="N494" s="5" t="inlineStr"/>
    </row>
    <row r="495">
      <c r="A495" s="13" t="inlineStr">
        <is>
          <t>0003643</t>
        </is>
      </c>
      <c r="B495" s="5" t="inlineStr">
        <is>
          <t>[0003643] FLAGYL 500MG 14TAB TMR</t>
        </is>
      </c>
      <c r="C495" s="5" t="inlineStr">
        <is>
          <t>دواء</t>
        </is>
      </c>
      <c r="D495" s="13" t="inlineStr">
        <is>
          <t>010628508800058421ka</t>
        </is>
      </c>
      <c r="E495" s="14">
        <f>L495-K495</f>
        <v/>
      </c>
      <c r="F495" s="14" t="n">
        <v>0</v>
      </c>
      <c r="G495" s="14">
        <f>F495-E495</f>
        <v/>
      </c>
      <c r="H495" s="7" t="n">
        <v>19.15</v>
      </c>
      <c r="I495" s="7">
        <f>G495*H495</f>
        <v/>
      </c>
      <c r="J495" s="16" t="inlineStr">
        <is>
          <t>لم يُجرد</t>
        </is>
      </c>
      <c r="K495" s="14" t="n">
        <v>0</v>
      </c>
      <c r="L495" s="14" t="n">
        <v>12</v>
      </c>
      <c r="M495" s="5" t="inlineStr"/>
      <c r="N495" s="5" t="inlineStr"/>
    </row>
    <row r="496">
      <c r="A496" s="13" t="inlineStr">
        <is>
          <t>00041443</t>
        </is>
      </c>
      <c r="B496" s="5" t="inlineStr">
        <is>
          <t>[00041443] HABITS BIOTIN 60GUMMIES</t>
        </is>
      </c>
      <c r="C496" s="5" t="inlineStr">
        <is>
          <t>دواء</t>
        </is>
      </c>
      <c r="D496" s="13" t="inlineStr">
        <is>
          <t>628011808363</t>
        </is>
      </c>
      <c r="E496" s="14">
        <f>L496-K496</f>
        <v/>
      </c>
      <c r="F496" s="14" t="n">
        <v>0</v>
      </c>
      <c r="G496" s="14">
        <f>F496-E496</f>
        <v/>
      </c>
      <c r="H496" s="7" t="n">
        <v>80</v>
      </c>
      <c r="I496" s="7">
        <f>G496*H496</f>
        <v/>
      </c>
      <c r="J496" s="16" t="inlineStr">
        <is>
          <t>لم يُجرد</t>
        </is>
      </c>
      <c r="K496" s="14" t="n">
        <v>0</v>
      </c>
      <c r="L496" s="14" t="n">
        <v>3</v>
      </c>
      <c r="M496" s="5" t="inlineStr"/>
      <c r="N496" s="5" t="inlineStr"/>
    </row>
    <row r="497">
      <c r="A497" s="13" t="inlineStr">
        <is>
          <t>00041444</t>
        </is>
      </c>
      <c r="B497" s="5" t="inlineStr">
        <is>
          <t>[00041444] HABITS APPLE CIDER VINEGAR 60 GUMMIES</t>
        </is>
      </c>
      <c r="C497" s="5" t="inlineStr">
        <is>
          <t>دواء</t>
        </is>
      </c>
      <c r="D497" s="13" t="inlineStr">
        <is>
          <t>628011808349</t>
        </is>
      </c>
      <c r="E497" s="14">
        <f>L497-K497</f>
        <v/>
      </c>
      <c r="F497" s="14" t="n">
        <v>0</v>
      </c>
      <c r="G497" s="14">
        <f>F497-E497</f>
        <v/>
      </c>
      <c r="H497" s="7" t="n">
        <v>80</v>
      </c>
      <c r="I497" s="7">
        <f>G497*H497</f>
        <v/>
      </c>
      <c r="J497" s="16" t="inlineStr">
        <is>
          <t>لم يُجرد</t>
        </is>
      </c>
      <c r="K497" s="14" t="n">
        <v>0</v>
      </c>
      <c r="L497" s="14" t="n">
        <v>3</v>
      </c>
      <c r="M497" s="5" t="inlineStr"/>
      <c r="N497" s="5" t="inlineStr"/>
    </row>
    <row r="498">
      <c r="A498" s="13" t="inlineStr">
        <is>
          <t>00046462</t>
        </is>
      </c>
      <c r="B498" s="5" t="inlineStr">
        <is>
          <t>[00046462] SUMAREX 100 MG 6 TAB</t>
        </is>
      </c>
      <c r="C498" s="5" t="inlineStr">
        <is>
          <t>دواء</t>
        </is>
      </c>
      <c r="D498" s="13" t="inlineStr"/>
      <c r="E498" s="14">
        <f>L498-K498</f>
        <v/>
      </c>
      <c r="F498" s="14" t="n">
        <v>0</v>
      </c>
      <c r="G498" s="14">
        <f>F498-E498</f>
        <v/>
      </c>
      <c r="H498" s="7" t="n">
        <v>104.15</v>
      </c>
      <c r="I498" s="7">
        <f>G498*H498</f>
        <v/>
      </c>
      <c r="J498" s="16" t="inlineStr">
        <is>
          <t>لم يُجرد</t>
        </is>
      </c>
      <c r="K498" s="14" t="n">
        <v>0</v>
      </c>
      <c r="L498" s="14" t="n">
        <v>2</v>
      </c>
      <c r="M498" s="5" t="inlineStr"/>
      <c r="N498" s="5" t="inlineStr"/>
    </row>
    <row r="499">
      <c r="A499" s="13" t="inlineStr">
        <is>
          <t>0004247</t>
        </is>
      </c>
      <c r="B499" s="5" t="inlineStr">
        <is>
          <t>[0004247] CIPROXEN 750MG 10TAB WASFA</t>
        </is>
      </c>
      <c r="C499" s="5" t="inlineStr">
        <is>
          <t>دواء</t>
        </is>
      </c>
      <c r="D499" s="13" t="inlineStr">
        <is>
          <t>06285128000253</t>
        </is>
      </c>
      <c r="E499" s="14">
        <f>L499-K499</f>
        <v/>
      </c>
      <c r="F499" s="14" t="n">
        <v>0</v>
      </c>
      <c r="G499" s="14">
        <f>F499-E499</f>
        <v/>
      </c>
      <c r="H499" s="7" t="n">
        <v>80.15000000000001</v>
      </c>
      <c r="I499" s="7">
        <f>G499*H499</f>
        <v/>
      </c>
      <c r="J499" s="16" t="inlineStr">
        <is>
          <t>لم يُجرد</t>
        </is>
      </c>
      <c r="K499" s="14" t="n">
        <v>0</v>
      </c>
      <c r="L499" s="14" t="n">
        <v>4</v>
      </c>
      <c r="M499" s="5" t="inlineStr"/>
      <c r="N499" s="5" t="inlineStr"/>
    </row>
    <row r="500">
      <c r="A500" s="13" t="inlineStr">
        <is>
          <t>00019940</t>
        </is>
      </c>
      <c r="B500" s="5" t="inlineStr">
        <is>
          <t>[00019940] ZISTAN 2 MG  SYRUP 100ML</t>
        </is>
      </c>
      <c r="C500" s="5" t="inlineStr">
        <is>
          <t>دواء</t>
        </is>
      </c>
      <c r="D500" s="13" t="inlineStr"/>
      <c r="E500" s="14">
        <f>L500-K500</f>
        <v/>
      </c>
      <c r="F500" s="14" t="n">
        <v>0</v>
      </c>
      <c r="G500" s="14">
        <f>F500-E500</f>
        <v/>
      </c>
      <c r="H500" s="7" t="n">
        <v>5.4</v>
      </c>
      <c r="I500" s="7">
        <f>G500*H500</f>
        <v/>
      </c>
      <c r="J500" s="16" t="inlineStr">
        <is>
          <t>لم يُجرد</t>
        </is>
      </c>
      <c r="K500" s="14" t="n">
        <v>0</v>
      </c>
      <c r="L500" s="14" t="n">
        <v>40</v>
      </c>
      <c r="M500" s="5" t="inlineStr"/>
      <c r="N500" s="5" t="inlineStr"/>
    </row>
    <row r="501">
      <c r="A501" s="13" t="inlineStr">
        <is>
          <t>00048683</t>
        </is>
      </c>
      <c r="B501" s="5" t="inlineStr">
        <is>
          <t>[00048683] FRESHVUE MULTI 10ML BTL</t>
        </is>
      </c>
      <c r="C501" s="5" t="inlineStr">
        <is>
          <t>دواء</t>
        </is>
      </c>
      <c r="D501" s="13" t="inlineStr">
        <is>
          <t>08057729510664</t>
        </is>
      </c>
      <c r="E501" s="14">
        <f>L501-K501</f>
        <v/>
      </c>
      <c r="F501" s="14" t="n">
        <v>0</v>
      </c>
      <c r="G501" s="14">
        <f>F501-E501</f>
        <v/>
      </c>
      <c r="H501" s="7" t="n">
        <v>69</v>
      </c>
      <c r="I501" s="7">
        <f>G501*H501</f>
        <v/>
      </c>
      <c r="J501" s="16" t="inlineStr">
        <is>
          <t>لم يُجرد</t>
        </is>
      </c>
      <c r="K501" s="14" t="n">
        <v>0</v>
      </c>
      <c r="L501" s="14" t="n">
        <v>3</v>
      </c>
      <c r="M501" s="5" t="inlineStr"/>
      <c r="N501" s="5" t="inlineStr"/>
    </row>
    <row r="502">
      <c r="A502" s="13" t="inlineStr">
        <is>
          <t>0005370</t>
        </is>
      </c>
      <c r="B502" s="5" t="inlineStr">
        <is>
          <t>[0005370] OTOZOL EAR/DROP 10 ML</t>
        </is>
      </c>
      <c r="C502" s="5" t="inlineStr">
        <is>
          <t>دواء</t>
        </is>
      </c>
      <c r="D502" s="13" t="inlineStr">
        <is>
          <t>06251151000485</t>
        </is>
      </c>
      <c r="E502" s="14">
        <f>L502-K502</f>
        <v/>
      </c>
      <c r="F502" s="14" t="n">
        <v>0</v>
      </c>
      <c r="G502" s="14">
        <f>F502-E502</f>
        <v/>
      </c>
      <c r="H502" s="7" t="n">
        <v>8.300000000000001</v>
      </c>
      <c r="I502" s="7">
        <f>G502*H502</f>
        <v/>
      </c>
      <c r="J502" s="16" t="inlineStr">
        <is>
          <t>لم يُجرد</t>
        </is>
      </c>
      <c r="K502" s="14" t="n">
        <v>0</v>
      </c>
      <c r="L502" s="14" t="n">
        <v>26</v>
      </c>
      <c r="M502" s="5" t="inlineStr"/>
      <c r="N502" s="5" t="inlineStr"/>
    </row>
    <row r="503">
      <c r="A503" s="13" t="inlineStr">
        <is>
          <t>0004455</t>
        </is>
      </c>
      <c r="B503" s="5" t="inlineStr">
        <is>
          <t>[0004455] ACC LONG 600 TAB</t>
        </is>
      </c>
      <c r="C503" s="5" t="inlineStr">
        <is>
          <t>دواء</t>
        </is>
      </c>
      <c r="D503" s="13" t="inlineStr">
        <is>
          <t>04030855452781</t>
        </is>
      </c>
      <c r="E503" s="14">
        <f>L503-K503</f>
        <v/>
      </c>
      <c r="F503" s="14" t="n">
        <v>0</v>
      </c>
      <c r="G503" s="14">
        <f>F503-E503</f>
        <v/>
      </c>
      <c r="H503" s="7" t="n">
        <v>16.55</v>
      </c>
      <c r="I503" s="7">
        <f>G503*H503</f>
        <v/>
      </c>
      <c r="J503" s="16" t="inlineStr">
        <is>
          <t>لم يُجرد</t>
        </is>
      </c>
      <c r="K503" s="14" t="n">
        <v>0</v>
      </c>
      <c r="L503" s="14" t="n">
        <v>13</v>
      </c>
      <c r="M503" s="5" t="inlineStr"/>
      <c r="N503" s="5" t="inlineStr"/>
    </row>
    <row r="504">
      <c r="A504" s="13" t="inlineStr">
        <is>
          <t>0003524</t>
        </is>
      </c>
      <c r="B504" s="5" t="inlineStr">
        <is>
          <t>[0003524] GYNO MIKOZAL 2% 78GR CREAM</t>
        </is>
      </c>
      <c r="C504" s="5" t="inlineStr">
        <is>
          <t>دواء</t>
        </is>
      </c>
      <c r="D504" s="13" t="inlineStr">
        <is>
          <t>01062911000816081719</t>
        </is>
      </c>
      <c r="E504" s="14">
        <f>L504-K504</f>
        <v/>
      </c>
      <c r="F504" s="14" t="n">
        <v>0</v>
      </c>
      <c r="G504" s="14">
        <f>F504-E504</f>
        <v/>
      </c>
      <c r="H504" s="7" t="n">
        <v>23.8</v>
      </c>
      <c r="I504" s="7">
        <f>G504*H504</f>
        <v/>
      </c>
      <c r="J504" s="16" t="inlineStr">
        <is>
          <t>لم يُجرد</t>
        </is>
      </c>
      <c r="K504" s="14" t="n">
        <v>0</v>
      </c>
      <c r="L504" s="14" t="n">
        <v>9</v>
      </c>
      <c r="M504" s="5" t="inlineStr"/>
      <c r="N504" s="5" t="inlineStr"/>
    </row>
    <row r="505">
      <c r="A505" s="13" t="inlineStr">
        <is>
          <t>00040443</t>
        </is>
      </c>
      <c r="B505" s="5" t="inlineStr">
        <is>
          <t>[00040443] ابيفيتا كريم مرطب للبشره 30مل 8904</t>
        </is>
      </c>
      <c r="C505" s="5" t="inlineStr">
        <is>
          <t>دواء</t>
        </is>
      </c>
      <c r="D505" s="13" t="inlineStr">
        <is>
          <t>5201279078904</t>
        </is>
      </c>
      <c r="E505" s="14">
        <f>L505-K505</f>
        <v/>
      </c>
      <c r="F505" s="14" t="n">
        <v>0</v>
      </c>
      <c r="G505" s="14">
        <f>F505-E505</f>
        <v/>
      </c>
      <c r="H505" s="7" t="n">
        <v>115</v>
      </c>
      <c r="I505" s="7">
        <f>G505*H505</f>
        <v/>
      </c>
      <c r="J505" s="16" t="inlineStr">
        <is>
          <t>لم يُجرد</t>
        </is>
      </c>
      <c r="K505" s="14" t="n">
        <v>0</v>
      </c>
      <c r="L505" s="14" t="n">
        <v>2</v>
      </c>
      <c r="M505" s="5" t="inlineStr"/>
      <c r="N505" s="5" t="inlineStr"/>
    </row>
    <row r="506">
      <c r="A506" s="13" t="inlineStr">
        <is>
          <t>0004206</t>
        </is>
      </c>
      <c r="B506" s="5" t="inlineStr">
        <is>
          <t>[0004206] DENTINOX BALM 15GM</t>
        </is>
      </c>
      <c r="C506" s="5" t="inlineStr">
        <is>
          <t>دواء</t>
        </is>
      </c>
      <c r="D506" s="13" t="inlineStr">
        <is>
          <t>5011784000341</t>
        </is>
      </c>
      <c r="E506" s="14">
        <f>L506-K506</f>
        <v/>
      </c>
      <c r="F506" s="14" t="n">
        <v>0</v>
      </c>
      <c r="G506" s="14">
        <f>F506-E506</f>
        <v/>
      </c>
      <c r="H506" s="7" t="n">
        <v>45</v>
      </c>
      <c r="I506" s="7">
        <f>G506*H506</f>
        <v/>
      </c>
      <c r="J506" s="16" t="inlineStr">
        <is>
          <t>لم يُجرد</t>
        </is>
      </c>
      <c r="K506" s="14" t="n">
        <v>0</v>
      </c>
      <c r="L506" s="14" t="n">
        <v>6</v>
      </c>
      <c r="M506" s="5" t="inlineStr"/>
      <c r="N506" s="5" t="inlineStr"/>
    </row>
    <row r="507">
      <c r="A507" s="13" t="inlineStr">
        <is>
          <t>00018284</t>
        </is>
      </c>
      <c r="B507" s="5" t="inlineStr">
        <is>
          <t>[00018284] PJUR SUPER1656 HERO SPRAY 20 ML</t>
        </is>
      </c>
      <c r="C507" s="5" t="inlineStr">
        <is>
          <t>دواء</t>
        </is>
      </c>
      <c r="D507" s="13" t="inlineStr">
        <is>
          <t>827160111656</t>
        </is>
      </c>
      <c r="E507" s="14">
        <f>L507-K507</f>
        <v/>
      </c>
      <c r="F507" s="14" t="n">
        <v>0</v>
      </c>
      <c r="G507" s="14">
        <f>F507-E507</f>
        <v/>
      </c>
      <c r="H507" s="7" t="n">
        <v>173</v>
      </c>
      <c r="I507" s="7">
        <f>G507*H507</f>
        <v/>
      </c>
      <c r="J507" s="16" t="inlineStr">
        <is>
          <t>لم يُجرد</t>
        </is>
      </c>
      <c r="K507" s="14" t="n">
        <v>0</v>
      </c>
      <c r="L507" s="14" t="n">
        <v>2</v>
      </c>
      <c r="M507" s="5" t="inlineStr"/>
      <c r="N507" s="5" t="inlineStr"/>
    </row>
    <row r="508">
      <c r="A508" s="13" t="inlineStr">
        <is>
          <t>0005303</t>
        </is>
      </c>
      <c r="B508" s="5" t="inlineStr">
        <is>
          <t>[0005303] PANTOZOL 20MG 15TAB</t>
        </is>
      </c>
      <c r="C508" s="5" t="inlineStr">
        <is>
          <t>دواء</t>
        </is>
      </c>
      <c r="D508" s="13" t="inlineStr">
        <is>
          <t>07640153082695</t>
        </is>
      </c>
      <c r="E508" s="14">
        <f>L508-K508</f>
        <v/>
      </c>
      <c r="F508" s="14" t="n">
        <v>0</v>
      </c>
      <c r="G508" s="14">
        <f>F508-E508</f>
        <v/>
      </c>
      <c r="H508" s="7" t="n">
        <v>30.7</v>
      </c>
      <c r="I508" s="7">
        <f>G508*H508</f>
        <v/>
      </c>
      <c r="J508" s="16" t="inlineStr">
        <is>
          <t>لم يُجرد</t>
        </is>
      </c>
      <c r="K508" s="14" t="n">
        <v>0</v>
      </c>
      <c r="L508" s="14" t="n">
        <v>8</v>
      </c>
      <c r="M508" s="5" t="inlineStr"/>
      <c r="N508" s="5" t="inlineStr"/>
    </row>
    <row r="509">
      <c r="A509" s="13" t="inlineStr">
        <is>
          <t>0005247</t>
        </is>
      </c>
      <c r="B509" s="5" t="inlineStr">
        <is>
          <t>[0005247] PREDO 25MG 30 TAB</t>
        </is>
      </c>
      <c r="C509" s="5" t="inlineStr">
        <is>
          <t>دواء</t>
        </is>
      </c>
      <c r="D509" s="13" t="inlineStr"/>
      <c r="E509" s="14">
        <f>L509-K509</f>
        <v/>
      </c>
      <c r="F509" s="14" t="n">
        <v>0</v>
      </c>
      <c r="G509" s="14">
        <f>F509-E509</f>
        <v/>
      </c>
      <c r="H509" s="7" t="n">
        <v>52.85</v>
      </c>
      <c r="I509" s="7">
        <f>G509*H509</f>
        <v/>
      </c>
      <c r="J509" s="16" t="inlineStr">
        <is>
          <t>لم يُجرد</t>
        </is>
      </c>
      <c r="K509" s="14" t="n">
        <v>0</v>
      </c>
      <c r="L509" s="14" t="n">
        <v>4</v>
      </c>
      <c r="M509" s="5" t="inlineStr"/>
      <c r="N509" s="5" t="inlineStr"/>
    </row>
    <row r="510">
      <c r="A510" s="13" t="inlineStr">
        <is>
          <t>00046692</t>
        </is>
      </c>
      <c r="B510" s="5" t="inlineStr">
        <is>
          <t>[00046692] REDOXON IMMUNE COMPLETE TUR 15 MEA</t>
        </is>
      </c>
      <c r="C510" s="5" t="inlineStr">
        <is>
          <t>دواء</t>
        </is>
      </c>
      <c r="D510" s="13" t="inlineStr">
        <is>
          <t>6285074005609</t>
        </is>
      </c>
      <c r="E510" s="14">
        <f>L510-K510</f>
        <v/>
      </c>
      <c r="F510" s="14" t="n">
        <v>0</v>
      </c>
      <c r="G510" s="14">
        <f>F510-E510</f>
        <v/>
      </c>
      <c r="H510" s="7" t="n">
        <v>34.5</v>
      </c>
      <c r="I510" s="7">
        <f>G510*H510</f>
        <v/>
      </c>
      <c r="J510" s="16" t="inlineStr">
        <is>
          <t>لم يُجرد</t>
        </is>
      </c>
      <c r="K510" s="14" t="n">
        <v>0</v>
      </c>
      <c r="L510" s="14" t="n">
        <v>6</v>
      </c>
      <c r="M510" s="5" t="inlineStr"/>
      <c r="N510" s="5" t="inlineStr"/>
    </row>
    <row r="511">
      <c r="A511" s="13" t="inlineStr">
        <is>
          <t>0004875</t>
        </is>
      </c>
      <c r="B511" s="5" t="inlineStr">
        <is>
          <t>[0004875] SIMVA 20 MG 30 TABLETS WASFA</t>
        </is>
      </c>
      <c r="C511" s="5" t="inlineStr">
        <is>
          <t>دواء</t>
        </is>
      </c>
      <c r="D511" s="13" t="inlineStr">
        <is>
          <t>06285128000833</t>
        </is>
      </c>
      <c r="E511" s="14">
        <f>L511-K511</f>
        <v/>
      </c>
      <c r="F511" s="14" t="n">
        <v>0</v>
      </c>
      <c r="G511" s="14">
        <f>F511-E511</f>
        <v/>
      </c>
      <c r="H511" s="7" t="n">
        <v>56.9</v>
      </c>
      <c r="I511" s="7">
        <f>G511*H511</f>
        <v/>
      </c>
      <c r="J511" s="16" t="inlineStr">
        <is>
          <t>لم يُجرد</t>
        </is>
      </c>
      <c r="K511" s="14" t="n">
        <v>0</v>
      </c>
      <c r="L511" s="14" t="n">
        <v>4</v>
      </c>
      <c r="M511" s="5" t="inlineStr"/>
      <c r="N511" s="5" t="inlineStr"/>
    </row>
    <row r="512">
      <c r="A512" s="13" t="inlineStr">
        <is>
          <t>00037921</t>
        </is>
      </c>
      <c r="B512" s="5" t="inlineStr">
        <is>
          <t>[00037921] APISAL JET 2090 AD/CHI NS 30ML SPRY</t>
        </is>
      </c>
      <c r="C512" s="5" t="inlineStr">
        <is>
          <t>دواء</t>
        </is>
      </c>
      <c r="D512" s="13" t="inlineStr">
        <is>
          <t>6251151002090</t>
        </is>
      </c>
      <c r="E512" s="14">
        <f>L512-K512</f>
        <v/>
      </c>
      <c r="F512" s="14" t="n">
        <v>0</v>
      </c>
      <c r="G512" s="14">
        <f>F512-E512</f>
        <v/>
      </c>
      <c r="H512" s="7" t="n">
        <v>35</v>
      </c>
      <c r="I512" s="7">
        <f>G512*H512</f>
        <v/>
      </c>
      <c r="J512" s="16" t="inlineStr">
        <is>
          <t>لم يُجرد</t>
        </is>
      </c>
      <c r="K512" s="14" t="n">
        <v>0</v>
      </c>
      <c r="L512" s="14" t="n">
        <v>6</v>
      </c>
      <c r="M512" s="5" t="inlineStr"/>
      <c r="N512" s="5" t="inlineStr"/>
    </row>
    <row r="513">
      <c r="A513" s="13" t="inlineStr">
        <is>
          <t>0003658</t>
        </is>
      </c>
      <c r="B513" s="5" t="inlineStr">
        <is>
          <t>[0003658] FLOZAK 20 MG CAPSULE</t>
        </is>
      </c>
      <c r="C513" s="5" t="inlineStr">
        <is>
          <t>دواء</t>
        </is>
      </c>
      <c r="D513" s="13" t="inlineStr">
        <is>
          <t>06281080003530</t>
        </is>
      </c>
      <c r="E513" s="14">
        <f>L513-K513</f>
        <v/>
      </c>
      <c r="F513" s="14" t="n">
        <v>0</v>
      </c>
      <c r="G513" s="14">
        <f>F513-E513</f>
        <v/>
      </c>
      <c r="H513" s="7" t="n">
        <v>83.84999999999999</v>
      </c>
      <c r="I513" s="7">
        <f>G513*H513</f>
        <v/>
      </c>
      <c r="J513" s="16" t="inlineStr">
        <is>
          <t>لم يُجرد</t>
        </is>
      </c>
      <c r="K513" s="14" t="n">
        <v>0</v>
      </c>
      <c r="L513" s="14" t="n">
        <v>3</v>
      </c>
      <c r="M513" s="5" t="inlineStr"/>
      <c r="N513" s="5" t="inlineStr"/>
    </row>
    <row r="514">
      <c r="A514" s="13" t="inlineStr">
        <is>
          <t>00027746</t>
        </is>
      </c>
      <c r="B514" s="5" t="inlineStr">
        <is>
          <t>[00027746] ZYMALGE GEL 50G</t>
        </is>
      </c>
      <c r="C514" s="5" t="inlineStr">
        <is>
          <t>دواء</t>
        </is>
      </c>
      <c r="D514" s="13" t="inlineStr">
        <is>
          <t>0745114711007</t>
        </is>
      </c>
      <c r="E514" s="14">
        <f>L514-K514</f>
        <v/>
      </c>
      <c r="F514" s="14" t="n">
        <v>0</v>
      </c>
      <c r="G514" s="14">
        <f>F514-E514</f>
        <v/>
      </c>
      <c r="H514" s="7" t="n">
        <v>69</v>
      </c>
      <c r="I514" s="7">
        <f>G514*H514</f>
        <v/>
      </c>
      <c r="J514" s="16" t="inlineStr">
        <is>
          <t>لم يُجرد</t>
        </is>
      </c>
      <c r="K514" s="14" t="n">
        <v>0</v>
      </c>
      <c r="L514" s="14" t="n">
        <v>3</v>
      </c>
      <c r="M514" s="5" t="inlineStr"/>
      <c r="N514" s="5" t="inlineStr"/>
    </row>
    <row r="515">
      <c r="A515" s="13" t="inlineStr">
        <is>
          <t>00025135</t>
        </is>
      </c>
      <c r="B515" s="5" t="inlineStr">
        <is>
          <t>[00025135] LIMITLESS CHROMAX CUT 30 SACHETS</t>
        </is>
      </c>
      <c r="C515" s="5" t="inlineStr">
        <is>
          <t>دواء</t>
        </is>
      </c>
      <c r="D515" s="13" t="inlineStr"/>
      <c r="E515" s="14">
        <f>L515-K515</f>
        <v/>
      </c>
      <c r="F515" s="14" t="n">
        <v>0</v>
      </c>
      <c r="G515" s="14">
        <f>F515-E515</f>
        <v/>
      </c>
      <c r="H515" s="7" t="n">
        <v>102</v>
      </c>
      <c r="I515" s="7">
        <f>G515*H515</f>
        <v/>
      </c>
      <c r="J515" s="16" t="inlineStr">
        <is>
          <t>لم يُجرد</t>
        </is>
      </c>
      <c r="K515" s="14" t="n">
        <v>0</v>
      </c>
      <c r="L515" s="14" t="n">
        <v>2</v>
      </c>
      <c r="M515" s="5" t="inlineStr"/>
      <c r="N515" s="5" t="inlineStr"/>
    </row>
    <row r="516">
      <c r="A516" s="13" t="inlineStr">
        <is>
          <t>00018052</t>
        </is>
      </c>
      <c r="B516" s="5" t="inlineStr">
        <is>
          <t>[00018052] BENZAFLEX FC 10 MG TAB</t>
        </is>
      </c>
      <c r="C516" s="5" t="inlineStr">
        <is>
          <t>دواء</t>
        </is>
      </c>
      <c r="D516" s="13" t="inlineStr">
        <is>
          <t>06281086013502</t>
        </is>
      </c>
      <c r="E516" s="14">
        <f>L516-K516</f>
        <v/>
      </c>
      <c r="F516" s="14" t="n">
        <v>0</v>
      </c>
      <c r="G516" s="14">
        <f>F516-E516</f>
        <v/>
      </c>
      <c r="H516" s="7" t="n">
        <v>23.05</v>
      </c>
      <c r="I516" s="7">
        <f>G516*H516</f>
        <v/>
      </c>
      <c r="J516" s="16" t="inlineStr">
        <is>
          <t>لم يُجرد</t>
        </is>
      </c>
      <c r="K516" s="14" t="n">
        <v>0</v>
      </c>
      <c r="L516" s="14" t="n">
        <v>9</v>
      </c>
      <c r="M516" s="5" t="inlineStr"/>
      <c r="N516" s="5" t="inlineStr"/>
    </row>
    <row r="517">
      <c r="A517" s="13" t="inlineStr">
        <is>
          <t>00048339</t>
        </is>
      </c>
      <c r="B517" s="5" t="inlineStr">
        <is>
          <t>[00048339] GASTPRO 30 CAP 9340 NQ</t>
        </is>
      </c>
      <c r="C517" s="5" t="inlineStr">
        <is>
          <t>دواء</t>
        </is>
      </c>
      <c r="D517" s="13" t="inlineStr">
        <is>
          <t>0728633969340</t>
        </is>
      </c>
      <c r="E517" s="14">
        <f>L517-K517</f>
        <v/>
      </c>
      <c r="F517" s="14" t="n">
        <v>0</v>
      </c>
      <c r="G517" s="14">
        <f>F517-E517</f>
        <v/>
      </c>
      <c r="H517" s="7" t="n">
        <v>150</v>
      </c>
      <c r="I517" s="7">
        <f>G517*H517</f>
        <v/>
      </c>
      <c r="J517" s="16" t="inlineStr">
        <is>
          <t>لم يُجرد</t>
        </is>
      </c>
      <c r="K517" s="14" t="n">
        <v>0</v>
      </c>
      <c r="L517" s="14" t="n">
        <v>2</v>
      </c>
      <c r="M517" s="5" t="inlineStr"/>
      <c r="N517" s="5" t="inlineStr"/>
    </row>
    <row r="518">
      <c r="A518" s="13" t="inlineStr">
        <is>
          <t>00026217</t>
        </is>
      </c>
      <c r="B518" s="5" t="inlineStr">
        <is>
          <t>[00026217] ROXONIN TAPE 50MG 7SHEETS</t>
        </is>
      </c>
      <c r="C518" s="5" t="inlineStr">
        <is>
          <t>دواء</t>
        </is>
      </c>
      <c r="D518" s="13" t="inlineStr"/>
      <c r="E518" s="14">
        <f>L518-K518</f>
        <v/>
      </c>
      <c r="F518" s="14" t="n">
        <v>0</v>
      </c>
      <c r="G518" s="14">
        <f>F518-E518</f>
        <v/>
      </c>
      <c r="H518" s="7" t="n">
        <v>34.5</v>
      </c>
      <c r="I518" s="7">
        <f>G518*H518</f>
        <v/>
      </c>
      <c r="J518" s="16" t="inlineStr">
        <is>
          <t>لم يُجرد</t>
        </is>
      </c>
      <c r="K518" s="14" t="n">
        <v>0</v>
      </c>
      <c r="L518" s="14" t="n">
        <v>6</v>
      </c>
      <c r="M518" s="5" t="inlineStr"/>
      <c r="N518" s="5" t="inlineStr"/>
    </row>
    <row r="519">
      <c r="A519" s="13" t="inlineStr">
        <is>
          <t>00045762</t>
        </is>
      </c>
      <c r="B519" s="5" t="inlineStr">
        <is>
          <t>[00045762] AVALON CANDAN PLUS 16/12.5MG 30TAB</t>
        </is>
      </c>
      <c r="C519" s="5" t="inlineStr">
        <is>
          <t>دواء</t>
        </is>
      </c>
      <c r="D519" s="13" t="inlineStr">
        <is>
          <t>06285095006876</t>
        </is>
      </c>
      <c r="E519" s="14">
        <f>L519-K519</f>
        <v/>
      </c>
      <c r="F519" s="14" t="n">
        <v>0</v>
      </c>
      <c r="G519" s="14">
        <f>F519-E519</f>
        <v/>
      </c>
      <c r="H519" s="7" t="n">
        <v>51.35</v>
      </c>
      <c r="I519" s="7">
        <f>G519*H519</f>
        <v/>
      </c>
      <c r="J519" s="16" t="inlineStr">
        <is>
          <t>لم يُجرد</t>
        </is>
      </c>
      <c r="K519" s="14" t="n">
        <v>0</v>
      </c>
      <c r="L519" s="14" t="n">
        <v>4</v>
      </c>
      <c r="M519" s="5" t="inlineStr"/>
      <c r="N519" s="5" t="inlineStr"/>
    </row>
    <row r="520">
      <c r="A520" s="13" t="inlineStr">
        <is>
          <t>00020458</t>
        </is>
      </c>
      <c r="B520" s="5" t="inlineStr">
        <is>
          <t>[00020458] I CROSS GEL 0.4% EYE DROPS</t>
        </is>
      </c>
      <c r="C520" s="5" t="inlineStr">
        <is>
          <t>دواء</t>
        </is>
      </c>
      <c r="D520" s="13" t="inlineStr">
        <is>
          <t>8056420810011</t>
        </is>
      </c>
      <c r="E520" s="14">
        <f>L520-K520</f>
        <v/>
      </c>
      <c r="F520" s="14" t="n">
        <v>0</v>
      </c>
      <c r="G520" s="14">
        <f>F520-E520</f>
        <v/>
      </c>
      <c r="H520" s="7" t="n">
        <v>98</v>
      </c>
      <c r="I520" s="7">
        <f>G520*H520</f>
        <v/>
      </c>
      <c r="J520" s="16" t="inlineStr">
        <is>
          <t>لم يُجرد</t>
        </is>
      </c>
      <c r="K520" s="14" t="n">
        <v>0</v>
      </c>
      <c r="L520" s="14" t="n">
        <v>2</v>
      </c>
      <c r="M520" s="5" t="inlineStr"/>
      <c r="N520" s="5" t="inlineStr"/>
    </row>
    <row r="521">
      <c r="A521" s="13" t="inlineStr">
        <is>
          <t>00034057</t>
        </is>
      </c>
      <c r="B521" s="5" t="inlineStr">
        <is>
          <t>[00034057] SMILE ORAL GEL 30ML</t>
        </is>
      </c>
      <c r="C521" s="5" t="inlineStr">
        <is>
          <t>دواء</t>
        </is>
      </c>
      <c r="D521" s="13" t="inlineStr">
        <is>
          <t>795697001309</t>
        </is>
      </c>
      <c r="E521" s="14">
        <f>L521-K521</f>
        <v/>
      </c>
      <c r="F521" s="14" t="n">
        <v>0</v>
      </c>
      <c r="G521" s="14">
        <f>F521-E521</f>
        <v/>
      </c>
      <c r="H521" s="7" t="n">
        <v>42.5</v>
      </c>
      <c r="I521" s="7">
        <f>G521*H521</f>
        <v/>
      </c>
      <c r="J521" s="16" t="inlineStr">
        <is>
          <t>لم يُجرد</t>
        </is>
      </c>
      <c r="K521" s="14" t="n">
        <v>0</v>
      </c>
      <c r="L521" s="14" t="n">
        <v>10</v>
      </c>
      <c r="M521" s="5" t="inlineStr"/>
      <c r="N521" s="5" t="inlineStr"/>
    </row>
    <row r="522">
      <c r="A522" s="13" t="inlineStr">
        <is>
          <t>0005336</t>
        </is>
      </c>
      <c r="B522" s="5" t="inlineStr">
        <is>
          <t>[0005336] OPTICIN 03% EYE DROPS 5 ML</t>
        </is>
      </c>
      <c r="C522" s="5" t="inlineStr">
        <is>
          <t>دواء</t>
        </is>
      </c>
      <c r="D522" s="13" t="inlineStr"/>
      <c r="E522" s="14">
        <f>L522-K522</f>
        <v/>
      </c>
      <c r="F522" s="14" t="n">
        <v>0</v>
      </c>
      <c r="G522" s="14">
        <f>F522-E522</f>
        <v/>
      </c>
      <c r="H522" s="7" t="n">
        <v>14.6</v>
      </c>
      <c r="I522" s="7">
        <f>G522*H522</f>
        <v/>
      </c>
      <c r="J522" s="16" t="inlineStr">
        <is>
          <t>لم يُجرد</t>
        </is>
      </c>
      <c r="K522" s="14" t="n">
        <v>0</v>
      </c>
      <c r="L522" s="14" t="n">
        <v>14</v>
      </c>
      <c r="M522" s="5" t="inlineStr"/>
      <c r="N522" s="5" t="inlineStr"/>
    </row>
    <row r="523">
      <c r="A523" s="13" t="inlineStr">
        <is>
          <t>00031327</t>
        </is>
      </c>
      <c r="B523" s="5" t="inlineStr">
        <is>
          <t>[00031327] CLASGEN 0.5MG/ML E.DROPS</t>
        </is>
      </c>
      <c r="C523" s="5" t="inlineStr">
        <is>
          <t>دواء</t>
        </is>
      </c>
      <c r="D523" s="13" t="inlineStr">
        <is>
          <t>08806706059425</t>
        </is>
      </c>
      <c r="E523" s="14">
        <f>L523-K523</f>
        <v/>
      </c>
      <c r="F523" s="14" t="n">
        <v>0</v>
      </c>
      <c r="G523" s="14">
        <f>F523-E523</f>
        <v/>
      </c>
      <c r="H523" s="7" t="n">
        <v>91.09999999999999</v>
      </c>
      <c r="I523" s="7">
        <f>G523*H523</f>
        <v/>
      </c>
      <c r="J523" s="16" t="inlineStr">
        <is>
          <t>لم يُجرد</t>
        </is>
      </c>
      <c r="K523" s="14" t="n">
        <v>0</v>
      </c>
      <c r="L523" s="14" t="n">
        <v>2</v>
      </c>
      <c r="M523" s="5" t="inlineStr"/>
      <c r="N523" s="5" t="inlineStr"/>
    </row>
    <row r="524">
      <c r="A524" s="13" t="inlineStr">
        <is>
          <t>00028392</t>
        </is>
      </c>
      <c r="B524" s="5" t="inlineStr">
        <is>
          <t>[00028392] MOTOVA PLUS 30 TAB 8605</t>
        </is>
      </c>
      <c r="C524" s="5" t="inlineStr">
        <is>
          <t>دواء</t>
        </is>
      </c>
      <c r="D524" s="13" t="inlineStr">
        <is>
          <t>0618528968605</t>
        </is>
      </c>
      <c r="E524" s="14">
        <f>L524-K524</f>
        <v/>
      </c>
      <c r="F524" s="14" t="n">
        <v>0</v>
      </c>
      <c r="G524" s="14">
        <f>F524-E524</f>
        <v/>
      </c>
      <c r="H524" s="7" t="n">
        <v>265</v>
      </c>
      <c r="I524" s="7">
        <f>G524*H524</f>
        <v/>
      </c>
      <c r="J524" s="16" t="inlineStr">
        <is>
          <t>لم يُجرد</t>
        </is>
      </c>
      <c r="K524" s="14" t="n">
        <v>0</v>
      </c>
      <c r="L524" s="14" t="n">
        <v>1</v>
      </c>
      <c r="M524" s="5" t="inlineStr"/>
      <c r="N524" s="5" t="inlineStr"/>
    </row>
    <row r="525">
      <c r="A525" s="13" t="inlineStr">
        <is>
          <t>00038261</t>
        </is>
      </c>
      <c r="B525" s="5" t="inlineStr">
        <is>
          <t>[00038261] LIMI CRAN D 14 SACHETS</t>
        </is>
      </c>
      <c r="C525" s="5" t="inlineStr">
        <is>
          <t>دواء</t>
        </is>
      </c>
      <c r="D525" s="13" t="inlineStr">
        <is>
          <t>0608028917128</t>
        </is>
      </c>
      <c r="E525" s="14">
        <f>L525-K525</f>
        <v/>
      </c>
      <c r="F525" s="14" t="n">
        <v>0</v>
      </c>
      <c r="G525" s="14">
        <f>F525-E525</f>
        <v/>
      </c>
      <c r="H525" s="7" t="n">
        <v>140</v>
      </c>
      <c r="I525" s="7">
        <f>G525*H525</f>
        <v/>
      </c>
      <c r="J525" s="16" t="inlineStr">
        <is>
          <t>لم يُجرد</t>
        </is>
      </c>
      <c r="K525" s="14" t="n">
        <v>0</v>
      </c>
      <c r="L525" s="14" t="n">
        <v>3</v>
      </c>
      <c r="M525" s="5" t="inlineStr"/>
      <c r="N525" s="5" t="inlineStr"/>
    </row>
    <row r="526">
      <c r="A526" s="13" t="inlineStr">
        <is>
          <t>0003225</t>
        </is>
      </c>
      <c r="B526" s="5" t="inlineStr">
        <is>
          <t>[0003225] TABOCINE 100MG 10 CAPS WASFA</t>
        </is>
      </c>
      <c r="C526" s="5" t="inlineStr">
        <is>
          <t>دواء</t>
        </is>
      </c>
      <c r="D526" s="13" t="inlineStr">
        <is>
          <t>06285147004577</t>
        </is>
      </c>
      <c r="E526" s="14">
        <f>L526-K526</f>
        <v/>
      </c>
      <c r="F526" s="14" t="n">
        <v>0</v>
      </c>
      <c r="G526" s="14">
        <f>F526-E526</f>
        <v/>
      </c>
      <c r="H526" s="7" t="n">
        <v>28.85</v>
      </c>
      <c r="I526" s="7">
        <f>G526*H526</f>
        <v/>
      </c>
      <c r="J526" s="16" t="inlineStr">
        <is>
          <t>لم يُجرد</t>
        </is>
      </c>
      <c r="K526" s="14" t="n">
        <v>0</v>
      </c>
      <c r="L526" s="14" t="n">
        <v>7</v>
      </c>
      <c r="M526" s="5" t="inlineStr"/>
      <c r="N526" s="5" t="inlineStr"/>
    </row>
    <row r="527">
      <c r="A527" s="13" t="inlineStr">
        <is>
          <t>0005742</t>
        </is>
      </c>
      <c r="B527" s="5" t="inlineStr">
        <is>
          <t>[0005742] LISINO 20 MG 30 TAB WASFA</t>
        </is>
      </c>
      <c r="C527" s="5" t="inlineStr">
        <is>
          <t>دواء</t>
        </is>
      </c>
      <c r="D527" s="13" t="inlineStr">
        <is>
          <t>010628512800056710ub</t>
        </is>
      </c>
      <c r="E527" s="14">
        <f>L527-K527</f>
        <v/>
      </c>
      <c r="F527" s="14" t="n">
        <v>0</v>
      </c>
      <c r="G527" s="14">
        <f>F527-E527</f>
        <v/>
      </c>
      <c r="H527" s="7" t="n">
        <v>47.5</v>
      </c>
      <c r="I527" s="7">
        <f>G527*H527</f>
        <v/>
      </c>
      <c r="J527" s="16" t="inlineStr">
        <is>
          <t>لم يُجرد</t>
        </is>
      </c>
      <c r="K527" s="14" t="n">
        <v>0</v>
      </c>
      <c r="L527" s="14" t="n">
        <v>5</v>
      </c>
      <c r="M527" s="5" t="inlineStr"/>
      <c r="N527" s="5" t="inlineStr"/>
    </row>
    <row r="528">
      <c r="A528" s="13" t="inlineStr">
        <is>
          <t>00048709</t>
        </is>
      </c>
      <c r="B528" s="5" t="inlineStr">
        <is>
          <t>[00048709] AFOMILL ANTI-REDNESS EYE DROPS 5845</t>
        </is>
      </c>
      <c r="C528" s="5" t="inlineStr">
        <is>
          <t>دواء</t>
        </is>
      </c>
      <c r="D528" s="13" t="inlineStr">
        <is>
          <t>8058363615845</t>
        </is>
      </c>
      <c r="E528" s="14">
        <f>L528-K528</f>
        <v/>
      </c>
      <c r="F528" s="14" t="n">
        <v>0</v>
      </c>
      <c r="G528" s="14">
        <f>F528-E528</f>
        <v/>
      </c>
      <c r="H528" s="7" t="n">
        <v>79</v>
      </c>
      <c r="I528" s="7">
        <f>G528*H528</f>
        <v/>
      </c>
      <c r="J528" s="16" t="inlineStr">
        <is>
          <t>لم يُجرد</t>
        </is>
      </c>
      <c r="K528" s="14" t="n">
        <v>0</v>
      </c>
      <c r="L528" s="14" t="n">
        <v>4</v>
      </c>
      <c r="M528" s="5" t="inlineStr"/>
      <c r="N528" s="5" t="inlineStr"/>
    </row>
    <row r="529">
      <c r="A529" s="13" t="inlineStr">
        <is>
          <t>0003520</t>
        </is>
      </c>
      <c r="B529" s="5" t="inlineStr">
        <is>
          <t>[0003520] GYNO MIKOZAL 400MG VAG OVULE</t>
        </is>
      </c>
      <c r="C529" s="5" t="inlineStr">
        <is>
          <t>دواء</t>
        </is>
      </c>
      <c r="D529" s="13" t="inlineStr">
        <is>
          <t>06291100080090</t>
        </is>
      </c>
      <c r="E529" s="14">
        <f>L529-K529</f>
        <v/>
      </c>
      <c r="F529" s="14" t="n">
        <v>0</v>
      </c>
      <c r="G529" s="14">
        <f>F529-E529</f>
        <v/>
      </c>
      <c r="H529" s="7" t="n">
        <v>18.25</v>
      </c>
      <c r="I529" s="7">
        <f>G529*H529</f>
        <v/>
      </c>
      <c r="J529" s="16" t="inlineStr">
        <is>
          <t>لم يُجرد</t>
        </is>
      </c>
      <c r="K529" s="14" t="n">
        <v>0</v>
      </c>
      <c r="L529" s="14" t="n">
        <v>11</v>
      </c>
      <c r="M529" s="5" t="inlineStr"/>
      <c r="N529" s="5" t="inlineStr"/>
    </row>
    <row r="530">
      <c r="A530" s="13" t="inlineStr">
        <is>
          <t>00034834</t>
        </is>
      </c>
      <c r="B530" s="5" t="inlineStr">
        <is>
          <t>[00034834] ELMENT  BIOTIN 1000 60GUMMIES</t>
        </is>
      </c>
      <c r="C530" s="5" t="inlineStr">
        <is>
          <t>دواء</t>
        </is>
      </c>
      <c r="D530" s="13" t="inlineStr">
        <is>
          <t>6939964026242</t>
        </is>
      </c>
      <c r="E530" s="14">
        <f>L530-K530</f>
        <v/>
      </c>
      <c r="F530" s="14" t="n">
        <v>0</v>
      </c>
      <c r="G530" s="14">
        <f>F530-E530</f>
        <v/>
      </c>
      <c r="H530" s="7" t="n">
        <v>78.25</v>
      </c>
      <c r="I530" s="7">
        <f>G530*H530</f>
        <v/>
      </c>
      <c r="J530" s="16" t="inlineStr">
        <is>
          <t>لم يُجرد</t>
        </is>
      </c>
      <c r="K530" s="14" t="n">
        <v>0</v>
      </c>
      <c r="L530" s="14" t="n">
        <v>3</v>
      </c>
      <c r="M530" s="5" t="inlineStr"/>
      <c r="N530" s="5" t="inlineStr"/>
    </row>
    <row r="531">
      <c r="A531" s="13" t="inlineStr">
        <is>
          <t>0004221</t>
        </is>
      </c>
      <c r="B531" s="5" t="inlineStr">
        <is>
          <t>[0004221] CHLOROHISTOL 4MG 20 TAB</t>
        </is>
      </c>
      <c r="C531" s="5" t="inlineStr">
        <is>
          <t>دواء</t>
        </is>
      </c>
      <c r="D531" s="13" t="inlineStr">
        <is>
          <t>06291100085439</t>
        </is>
      </c>
      <c r="E531" s="14">
        <f>L531-K531</f>
        <v/>
      </c>
      <c r="F531" s="14" t="n">
        <v>0</v>
      </c>
      <c r="G531" s="14">
        <f>F531-E531</f>
        <v/>
      </c>
      <c r="H531" s="7" t="n">
        <v>6.65</v>
      </c>
      <c r="I531" s="7">
        <f>G531*H531</f>
        <v/>
      </c>
      <c r="J531" s="16" t="inlineStr">
        <is>
          <t>لم يُجرد</t>
        </is>
      </c>
      <c r="K531" s="14" t="n">
        <v>0</v>
      </c>
      <c r="L531" s="14" t="n">
        <v>30</v>
      </c>
      <c r="M531" s="5" t="inlineStr"/>
      <c r="N531" s="5" t="inlineStr"/>
    </row>
    <row r="532">
      <c r="A532" s="13" t="inlineStr">
        <is>
          <t>00026691</t>
        </is>
      </c>
      <c r="B532" s="5" t="inlineStr">
        <is>
          <t>[00026691] FERTALIGHT SACHETS 30 9961</t>
        </is>
      </c>
      <c r="C532" s="5" t="inlineStr">
        <is>
          <t>دواء</t>
        </is>
      </c>
      <c r="D532" s="13" t="inlineStr">
        <is>
          <t>0037182669961</t>
        </is>
      </c>
      <c r="E532" s="14">
        <f>L532-K532</f>
        <v/>
      </c>
      <c r="F532" s="14" t="n">
        <v>0</v>
      </c>
      <c r="G532" s="14">
        <f>F532-E532</f>
        <v/>
      </c>
      <c r="H532" s="7" t="n">
        <v>385</v>
      </c>
      <c r="I532" s="7">
        <f>G532*H532</f>
        <v/>
      </c>
      <c r="J532" s="16" t="inlineStr">
        <is>
          <t>لم يُجرد</t>
        </is>
      </c>
      <c r="K532" s="14" t="n">
        <v>0</v>
      </c>
      <c r="L532" s="14" t="n">
        <v>1</v>
      </c>
      <c r="M532" s="5" t="inlineStr"/>
      <c r="N532" s="5" t="inlineStr"/>
    </row>
    <row r="533">
      <c r="A533" s="13" t="inlineStr">
        <is>
          <t>00032105</t>
        </is>
      </c>
      <c r="B533" s="5" t="inlineStr">
        <is>
          <t>[00032105] GLYCELAX 2800 MG  ADULT 12 SUPP</t>
        </is>
      </c>
      <c r="C533" s="5" t="inlineStr">
        <is>
          <t>دواء</t>
        </is>
      </c>
      <c r="D533" s="13" t="inlineStr">
        <is>
          <t>0793150467051</t>
        </is>
      </c>
      <c r="E533" s="14">
        <f>L533-K533</f>
        <v/>
      </c>
      <c r="F533" s="14" t="n">
        <v>0</v>
      </c>
      <c r="G533" s="14">
        <f>F533-E533</f>
        <v/>
      </c>
      <c r="H533" s="7" t="n">
        <v>94.84999999999999</v>
      </c>
      <c r="I533" s="7">
        <f>G533*H533</f>
        <v/>
      </c>
      <c r="J533" s="16" t="inlineStr">
        <is>
          <t>لم يُجرد</t>
        </is>
      </c>
      <c r="K533" s="14" t="n">
        <v>0</v>
      </c>
      <c r="L533" s="14" t="n">
        <v>2.5</v>
      </c>
      <c r="M533" s="5" t="inlineStr"/>
      <c r="N533" s="5" t="inlineStr"/>
    </row>
    <row r="534">
      <c r="A534" s="13" t="inlineStr">
        <is>
          <t>00017013</t>
        </is>
      </c>
      <c r="B534" s="5" t="inlineStr">
        <is>
          <t>[00017013] ZORON 4MG TAB WASFA</t>
        </is>
      </c>
      <c r="C534" s="5" t="inlineStr">
        <is>
          <t>دواء</t>
        </is>
      </c>
      <c r="D534" s="13" t="inlineStr">
        <is>
          <t>06285128003278</t>
        </is>
      </c>
      <c r="E534" s="14">
        <f>L534-K534</f>
        <v/>
      </c>
      <c r="F534" s="14" t="n">
        <v>0</v>
      </c>
      <c r="G534" s="14">
        <f>F534-E534</f>
        <v/>
      </c>
      <c r="H534" s="7" t="n">
        <v>100.8</v>
      </c>
      <c r="I534" s="7">
        <f>G534*H534</f>
        <v/>
      </c>
      <c r="J534" s="16" t="inlineStr">
        <is>
          <t>لم يُجرد</t>
        </is>
      </c>
      <c r="K534" s="14" t="n">
        <v>0</v>
      </c>
      <c r="L534" s="14" t="n">
        <v>2</v>
      </c>
      <c r="M534" s="5" t="inlineStr"/>
      <c r="N534" s="5" t="inlineStr"/>
    </row>
    <row r="535">
      <c r="A535" s="13" t="inlineStr">
        <is>
          <t>0005618</t>
        </is>
      </c>
      <c r="B535" s="5" t="inlineStr">
        <is>
          <t>[0005618] MAGNACEF 400MG 6CAPS</t>
        </is>
      </c>
      <c r="C535" s="5" t="inlineStr">
        <is>
          <t>دواء</t>
        </is>
      </c>
      <c r="D535" s="13" t="inlineStr">
        <is>
          <t>gtin:06251148010633e</t>
        </is>
      </c>
      <c r="E535" s="14">
        <f>L535-K535</f>
        <v/>
      </c>
      <c r="F535" s="14" t="n">
        <v>0</v>
      </c>
      <c r="G535" s="14">
        <f>F535-E535</f>
        <v/>
      </c>
      <c r="H535" s="7" t="n">
        <v>67.55</v>
      </c>
      <c r="I535" s="7">
        <f>G535*H535</f>
        <v/>
      </c>
      <c r="J535" s="16" t="inlineStr">
        <is>
          <t>لم يُجرد</t>
        </is>
      </c>
      <c r="K535" s="14" t="n">
        <v>0</v>
      </c>
      <c r="L535" s="14" t="n">
        <v>3</v>
      </c>
      <c r="M535" s="5" t="inlineStr"/>
      <c r="N535" s="5" t="inlineStr"/>
    </row>
    <row r="536">
      <c r="A536" s="13" t="inlineStr">
        <is>
          <t>00021169</t>
        </is>
      </c>
      <c r="B536" s="5" t="inlineStr">
        <is>
          <t>[00021169] PROTOPIC 0.1 OINT 60GM</t>
        </is>
      </c>
      <c r="C536" s="5" t="inlineStr">
        <is>
          <t>دواء</t>
        </is>
      </c>
      <c r="D536" s="13" t="inlineStr"/>
      <c r="E536" s="14">
        <f>L536-K536</f>
        <v/>
      </c>
      <c r="F536" s="14" t="n">
        <v>0</v>
      </c>
      <c r="G536" s="14">
        <f>F536-E536</f>
        <v/>
      </c>
      <c r="H536" s="7" t="n">
        <v>188.8</v>
      </c>
      <c r="I536" s="7">
        <f>G536*H536</f>
        <v/>
      </c>
      <c r="J536" s="16" t="inlineStr">
        <is>
          <t>لم يُجرد</t>
        </is>
      </c>
      <c r="K536" s="14" t="n">
        <v>0</v>
      </c>
      <c r="L536" s="14" t="n">
        <v>1</v>
      </c>
      <c r="M536" s="5" t="inlineStr"/>
      <c r="N536" s="5" t="inlineStr"/>
    </row>
    <row r="537">
      <c r="A537" s="13" t="inlineStr">
        <is>
          <t>00028450</t>
        </is>
      </c>
      <c r="B537" s="5" t="inlineStr">
        <is>
          <t>[00028450] FERTALIGHT 30TABLETS 248296</t>
        </is>
      </c>
      <c r="C537" s="5" t="inlineStr">
        <is>
          <t>دواء</t>
        </is>
      </c>
      <c r="D537" s="13" t="inlineStr">
        <is>
          <t>795044248296</t>
        </is>
      </c>
      <c r="E537" s="14">
        <f>L537-K537</f>
        <v/>
      </c>
      <c r="F537" s="14" t="n">
        <v>0</v>
      </c>
      <c r="G537" s="14">
        <f>F537-E537</f>
        <v/>
      </c>
      <c r="H537" s="7" t="n">
        <v>190</v>
      </c>
      <c r="I537" s="7">
        <f>G537*H537</f>
        <v/>
      </c>
      <c r="J537" s="16" t="inlineStr">
        <is>
          <t>لم يُجرد</t>
        </is>
      </c>
      <c r="K537" s="14" t="n">
        <v>0</v>
      </c>
      <c r="L537" s="14" t="n">
        <v>2</v>
      </c>
      <c r="M537" s="5" t="inlineStr"/>
      <c r="N537" s="5" t="inlineStr"/>
    </row>
    <row r="538">
      <c r="A538" s="13" t="inlineStr">
        <is>
          <t>0004285</t>
        </is>
      </c>
      <c r="B538" s="5" t="inlineStr">
        <is>
          <t>[0004285] CLARITINE 10 MG 10 TAB</t>
        </is>
      </c>
      <c r="C538" s="5" t="inlineStr">
        <is>
          <t>دواء</t>
        </is>
      </c>
      <c r="D538" s="13" t="inlineStr">
        <is>
          <t>06285074005616</t>
        </is>
      </c>
      <c r="E538" s="14">
        <f>L538-K538</f>
        <v/>
      </c>
      <c r="F538" s="14" t="n">
        <v>0</v>
      </c>
      <c r="G538" s="14">
        <f>F538-E538</f>
        <v/>
      </c>
      <c r="H538" s="7" t="n">
        <v>19.6</v>
      </c>
      <c r="I538" s="7">
        <f>G538*H538</f>
        <v/>
      </c>
      <c r="J538" s="16" t="inlineStr">
        <is>
          <t>لم يُجرد</t>
        </is>
      </c>
      <c r="K538" s="14" t="n">
        <v>0</v>
      </c>
      <c r="L538" s="14" t="n">
        <v>10</v>
      </c>
      <c r="M538" s="5" t="inlineStr"/>
      <c r="N538" s="5" t="inlineStr"/>
    </row>
    <row r="539">
      <c r="A539" s="13" t="inlineStr">
        <is>
          <t>00041656</t>
        </is>
      </c>
      <c r="B539" s="5" t="inlineStr">
        <is>
          <t>[00041656] OMEPREX PLUS 40MG/1100 30CAP</t>
        </is>
      </c>
      <c r="C539" s="5" t="inlineStr">
        <is>
          <t>دواء</t>
        </is>
      </c>
      <c r="D539" s="13" t="inlineStr"/>
      <c r="E539" s="14">
        <f>L539-K539</f>
        <v/>
      </c>
      <c r="F539" s="14" t="n">
        <v>0</v>
      </c>
      <c r="G539" s="14">
        <f>F539-E539</f>
        <v/>
      </c>
      <c r="H539" s="7" t="n">
        <v>93.75</v>
      </c>
      <c r="I539" s="7">
        <f>G539*H539</f>
        <v/>
      </c>
      <c r="J539" s="16" t="inlineStr">
        <is>
          <t>لم يُجرد</t>
        </is>
      </c>
      <c r="K539" s="14" t="n">
        <v>0</v>
      </c>
      <c r="L539" s="14" t="n">
        <v>2</v>
      </c>
      <c r="M539" s="5" t="inlineStr"/>
      <c r="N539" s="5" t="inlineStr"/>
    </row>
    <row r="540">
      <c r="A540" s="13" t="inlineStr">
        <is>
          <t>00018532</t>
        </is>
      </c>
      <c r="B540" s="5" t="inlineStr">
        <is>
          <t>[00018532] CREVAST 20 MG TAB</t>
        </is>
      </c>
      <c r="C540" s="5" t="inlineStr">
        <is>
          <t>دواء</t>
        </is>
      </c>
      <c r="D540" s="13" t="inlineStr">
        <is>
          <t>06281086003404</t>
        </is>
      </c>
      <c r="E540" s="14">
        <f>L540-K540</f>
        <v/>
      </c>
      <c r="F540" s="14" t="n">
        <v>0</v>
      </c>
      <c r="G540" s="14">
        <f>F540-E540</f>
        <v/>
      </c>
      <c r="H540" s="7" t="n">
        <v>93.5</v>
      </c>
      <c r="I540" s="7">
        <f>G540*H540</f>
        <v/>
      </c>
      <c r="J540" s="16" t="inlineStr">
        <is>
          <t>لم يُجرد</t>
        </is>
      </c>
      <c r="K540" s="14" t="n">
        <v>0</v>
      </c>
      <c r="L540" s="14" t="n">
        <v>2</v>
      </c>
      <c r="M540" s="5" t="inlineStr"/>
      <c r="N540" s="5" t="inlineStr"/>
    </row>
    <row r="541">
      <c r="A541" s="13" t="inlineStr">
        <is>
          <t>00044348</t>
        </is>
      </c>
      <c r="B541" s="5" t="inlineStr">
        <is>
          <t>[00044348] FEROSOM FORTE SYRUP 2589</t>
        </is>
      </c>
      <c r="C541" s="5" t="inlineStr">
        <is>
          <t>دواء</t>
        </is>
      </c>
      <c r="D541" s="13" t="inlineStr">
        <is>
          <t>628055192589</t>
        </is>
      </c>
      <c r="E541" s="14">
        <f>L541-K541</f>
        <v/>
      </c>
      <c r="F541" s="14" t="n">
        <v>0</v>
      </c>
      <c r="G541" s="14">
        <f>F541-E541</f>
        <v/>
      </c>
      <c r="H541" s="7" t="n">
        <v>135</v>
      </c>
      <c r="I541" s="7">
        <f>G541*H541</f>
        <v/>
      </c>
      <c r="J541" s="16" t="inlineStr">
        <is>
          <t>لم يُجرد</t>
        </is>
      </c>
      <c r="K541" s="14" t="n">
        <v>0</v>
      </c>
      <c r="L541" s="14" t="n">
        <v>2</v>
      </c>
      <c r="M541" s="5" t="inlineStr"/>
      <c r="N541" s="5" t="inlineStr"/>
    </row>
    <row r="542">
      <c r="A542" s="13" t="inlineStr">
        <is>
          <t>00022787</t>
        </is>
      </c>
      <c r="B542" s="5" t="inlineStr">
        <is>
          <t>[00022787] AVALON AVOBAN CREAM 30 GM</t>
        </is>
      </c>
      <c r="C542" s="5" t="inlineStr">
        <is>
          <t>دواء</t>
        </is>
      </c>
      <c r="D542" s="13" t="inlineStr"/>
      <c r="E542" s="14">
        <f>L542-K542</f>
        <v/>
      </c>
      <c r="F542" s="14" t="n">
        <v>0</v>
      </c>
      <c r="G542" s="14">
        <f>F542-E542</f>
        <v/>
      </c>
      <c r="H542" s="7" t="n">
        <v>38.8</v>
      </c>
      <c r="I542" s="7">
        <f>G542*H542</f>
        <v/>
      </c>
      <c r="J542" s="16" t="inlineStr">
        <is>
          <t>لم يُجرد</t>
        </is>
      </c>
      <c r="K542" s="14" t="n">
        <v>0</v>
      </c>
      <c r="L542" s="14" t="n">
        <v>5</v>
      </c>
      <c r="M542" s="5" t="inlineStr"/>
      <c r="N542" s="5" t="inlineStr"/>
    </row>
    <row r="543">
      <c r="A543" s="13" t="inlineStr">
        <is>
          <t>00018941</t>
        </is>
      </c>
      <c r="B543" s="5" t="inlineStr">
        <is>
          <t>[00018941] VICKS VAPODROPS 16 ORANGE MENTHOL 16 LOG</t>
        </is>
      </c>
      <c r="C543" s="5" t="inlineStr">
        <is>
          <t>دواء</t>
        </is>
      </c>
      <c r="D543" s="13" t="inlineStr">
        <is>
          <t>8001841460215</t>
        </is>
      </c>
      <c r="E543" s="14">
        <f>L543-K543</f>
        <v/>
      </c>
      <c r="F543" s="14" t="n">
        <v>0</v>
      </c>
      <c r="G543" s="14">
        <f>F543-E543</f>
        <v/>
      </c>
      <c r="H543" s="7" t="n">
        <v>30.5</v>
      </c>
      <c r="I543" s="7">
        <f>G543*H543</f>
        <v/>
      </c>
      <c r="J543" s="16" t="inlineStr">
        <is>
          <t>لم يُجرد</t>
        </is>
      </c>
      <c r="K543" s="14" t="n">
        <v>0</v>
      </c>
      <c r="L543" s="14" t="n">
        <v>8</v>
      </c>
      <c r="M543" s="5" t="inlineStr"/>
      <c r="N543" s="5" t="inlineStr"/>
    </row>
    <row r="544">
      <c r="A544" s="13" t="inlineStr">
        <is>
          <t>0003695</t>
        </is>
      </c>
      <c r="B544" s="5" t="inlineStr">
        <is>
          <t>[0003695] ANAZOL 125MG/5ML 120ML SUSP</t>
        </is>
      </c>
      <c r="C544" s="5" t="inlineStr">
        <is>
          <t>دواء</t>
        </is>
      </c>
      <c r="D544" s="13" t="inlineStr">
        <is>
          <t>06285101000454</t>
        </is>
      </c>
      <c r="E544" s="14">
        <f>L544-K544</f>
        <v/>
      </c>
      <c r="F544" s="14" t="n">
        <v>0</v>
      </c>
      <c r="G544" s="14">
        <f>F544-E544</f>
        <v/>
      </c>
      <c r="H544" s="7" t="n">
        <v>6.9</v>
      </c>
      <c r="I544" s="7">
        <f>G544*H544</f>
        <v/>
      </c>
      <c r="J544" s="16" t="inlineStr">
        <is>
          <t>لم يُجرد</t>
        </is>
      </c>
      <c r="K544" s="14" t="n">
        <v>0</v>
      </c>
      <c r="L544" s="14" t="n">
        <v>28</v>
      </c>
      <c r="M544" s="5" t="inlineStr"/>
      <c r="N544" s="5" t="inlineStr"/>
    </row>
    <row r="545">
      <c r="A545" s="13" t="inlineStr">
        <is>
          <t>0003977</t>
        </is>
      </c>
      <c r="B545" s="5" t="inlineStr">
        <is>
          <t>[0003977] DIOVAN 80MG 28 TAB******</t>
        </is>
      </c>
      <c r="C545" s="5" t="inlineStr">
        <is>
          <t>دواء</t>
        </is>
      </c>
      <c r="D545" s="13" t="inlineStr">
        <is>
          <t>07612797587928</t>
        </is>
      </c>
      <c r="E545" s="14">
        <f>L545-K545</f>
        <v/>
      </c>
      <c r="F545" s="14" t="n">
        <v>0</v>
      </c>
      <c r="G545" s="14">
        <f>F545-E545</f>
        <v/>
      </c>
      <c r="H545" s="7" t="n">
        <v>38.75</v>
      </c>
      <c r="I545" s="7">
        <f>G545*H545</f>
        <v/>
      </c>
      <c r="J545" s="16" t="inlineStr">
        <is>
          <t>لم يُجرد</t>
        </is>
      </c>
      <c r="K545" s="14" t="n">
        <v>0</v>
      </c>
      <c r="L545" s="14" t="n">
        <v>5</v>
      </c>
      <c r="M545" s="5" t="inlineStr"/>
      <c r="N545" s="5" t="inlineStr"/>
    </row>
    <row r="546">
      <c r="A546" s="13" t="inlineStr">
        <is>
          <t>00017594</t>
        </is>
      </c>
      <c r="B546" s="5" t="inlineStr">
        <is>
          <t>[00017594] FUSIDERM CREAM 2% 30GM</t>
        </is>
      </c>
      <c r="C546" s="5" t="inlineStr">
        <is>
          <t>دواء</t>
        </is>
      </c>
      <c r="D546" s="13" t="inlineStr">
        <is>
          <t>01062810860037321012</t>
        </is>
      </c>
      <c r="E546" s="14">
        <f>L546-K546</f>
        <v/>
      </c>
      <c r="F546" s="14" t="n">
        <v>0</v>
      </c>
      <c r="G546" s="14">
        <f>F546-E546</f>
        <v/>
      </c>
      <c r="H546" s="7" t="n">
        <v>19.5</v>
      </c>
      <c r="I546" s="7">
        <f>G546*H546</f>
        <v/>
      </c>
      <c r="J546" s="16" t="inlineStr">
        <is>
          <t>لم يُجرد</t>
        </is>
      </c>
      <c r="K546" s="14" t="n">
        <v>0</v>
      </c>
      <c r="L546" s="14" t="n">
        <v>10</v>
      </c>
      <c r="M546" s="5" t="inlineStr"/>
      <c r="N546" s="5" t="inlineStr"/>
    </row>
    <row r="547">
      <c r="A547" s="13" t="inlineStr">
        <is>
          <t>0004370</t>
        </is>
      </c>
      <c r="B547" s="5" t="inlineStr">
        <is>
          <t>[0004370] BRIMO 2% EYE DROPE 5ML</t>
        </is>
      </c>
      <c r="C547" s="5" t="inlineStr">
        <is>
          <t>دواء</t>
        </is>
      </c>
      <c r="D547" s="13" t="inlineStr"/>
      <c r="E547" s="14">
        <f>L547-K547</f>
        <v/>
      </c>
      <c r="F547" s="14" t="n">
        <v>0</v>
      </c>
      <c r="G547" s="14">
        <f>F547-E547</f>
        <v/>
      </c>
      <c r="H547" s="7" t="n">
        <v>38.5</v>
      </c>
      <c r="I547" s="7">
        <f>G547*H547</f>
        <v/>
      </c>
      <c r="J547" s="16" t="inlineStr">
        <is>
          <t>لم يُجرد</t>
        </is>
      </c>
      <c r="K547" s="14" t="n">
        <v>0</v>
      </c>
      <c r="L547" s="14" t="n">
        <v>5</v>
      </c>
      <c r="M547" s="5" t="inlineStr"/>
      <c r="N547" s="5" t="inlineStr"/>
    </row>
    <row r="548">
      <c r="A548" s="13" t="inlineStr">
        <is>
          <t>00048710</t>
        </is>
      </c>
      <c r="B548" s="5" t="inlineStr">
        <is>
          <t>[00048710] IRIDINA LUBRICANT EYE DROPS 0828 NQ</t>
        </is>
      </c>
      <c r="C548" s="5" t="inlineStr">
        <is>
          <t>دواء</t>
        </is>
      </c>
      <c r="D548" s="13" t="inlineStr">
        <is>
          <t>8004995450828</t>
        </is>
      </c>
      <c r="E548" s="14">
        <f>L548-K548</f>
        <v/>
      </c>
      <c r="F548" s="14" t="n">
        <v>0</v>
      </c>
      <c r="G548" s="14">
        <f>F548-E548</f>
        <v/>
      </c>
      <c r="H548" s="7" t="n">
        <v>89</v>
      </c>
      <c r="I548" s="7">
        <f>G548*H548</f>
        <v/>
      </c>
      <c r="J548" s="16" t="inlineStr">
        <is>
          <t>لم يُجرد</t>
        </is>
      </c>
      <c r="K548" s="14" t="n">
        <v>0</v>
      </c>
      <c r="L548" s="14" t="n">
        <v>3</v>
      </c>
      <c r="M548" s="5" t="inlineStr"/>
      <c r="N548" s="5" t="inlineStr"/>
    </row>
    <row r="549">
      <c r="A549" s="13" t="inlineStr">
        <is>
          <t>0005315</t>
        </is>
      </c>
      <c r="B549" s="5" t="inlineStr">
        <is>
          <t>[0005315] PANADOL ACTIFAST 20TAB(102)</t>
        </is>
      </c>
      <c r="C549" s="5" t="inlineStr">
        <is>
          <t>دواء</t>
        </is>
      </c>
      <c r="D549" s="13" t="inlineStr">
        <is>
          <t>06286740000249</t>
        </is>
      </c>
      <c r="E549" s="14">
        <f>L549-K549</f>
        <v/>
      </c>
      <c r="F549" s="14" t="n">
        <v>0</v>
      </c>
      <c r="G549" s="14">
        <f>F549-E549</f>
        <v/>
      </c>
      <c r="H549" s="7" t="n">
        <v>9.15</v>
      </c>
      <c r="I549" s="7">
        <f>G549*H549</f>
        <v/>
      </c>
      <c r="J549" s="16" t="inlineStr">
        <is>
          <t>لم يُجرد</t>
        </is>
      </c>
      <c r="K549" s="14" t="n">
        <v>0</v>
      </c>
      <c r="L549" s="14" t="n">
        <v>21</v>
      </c>
      <c r="M549" s="5" t="inlineStr"/>
      <c r="N549" s="5" t="inlineStr"/>
    </row>
    <row r="550">
      <c r="A550" s="13" t="inlineStr">
        <is>
          <t>00045051</t>
        </is>
      </c>
      <c r="B550" s="5" t="inlineStr">
        <is>
          <t>[00045051] FORTA TAB 1050MG 60TAB 9991</t>
        </is>
      </c>
      <c r="C550" s="5" t="inlineStr">
        <is>
          <t>دواء</t>
        </is>
      </c>
      <c r="D550" s="13" t="inlineStr">
        <is>
          <t>660111459991</t>
        </is>
      </c>
      <c r="E550" s="14">
        <f>L550-K550</f>
        <v/>
      </c>
      <c r="F550" s="14" t="n">
        <v>0</v>
      </c>
      <c r="G550" s="14">
        <f>F550-E550</f>
        <v/>
      </c>
      <c r="H550" s="7" t="n">
        <v>192</v>
      </c>
      <c r="I550" s="7">
        <f>G550*H550</f>
        <v/>
      </c>
      <c r="J550" s="16" t="inlineStr">
        <is>
          <t>لم يُجرد</t>
        </is>
      </c>
      <c r="K550" s="14" t="n">
        <v>0</v>
      </c>
      <c r="L550" s="14" t="n">
        <v>1</v>
      </c>
      <c r="M550" s="5" t="inlineStr"/>
      <c r="N550" s="5" t="inlineStr"/>
    </row>
    <row r="551">
      <c r="A551" s="13" t="inlineStr">
        <is>
          <t>00018819</t>
        </is>
      </c>
      <c r="B551" s="5" t="inlineStr">
        <is>
          <t>[00018819] DANDAXA 20 MG 4 TAB</t>
        </is>
      </c>
      <c r="C551" s="5" t="inlineStr">
        <is>
          <t>دواء</t>
        </is>
      </c>
      <c r="D551" s="13" t="inlineStr">
        <is>
          <t>06291107471846</t>
        </is>
      </c>
      <c r="E551" s="14">
        <f>L551-K551</f>
        <v/>
      </c>
      <c r="F551" s="14" t="n">
        <v>0</v>
      </c>
      <c r="G551" s="14">
        <f>F551-E551</f>
        <v/>
      </c>
      <c r="H551" s="7" t="n">
        <v>64</v>
      </c>
      <c r="I551" s="7">
        <f>G551*H551</f>
        <v/>
      </c>
      <c r="J551" s="16" t="inlineStr">
        <is>
          <t>لم يُجرد</t>
        </is>
      </c>
      <c r="K551" s="14" t="n">
        <v>0</v>
      </c>
      <c r="L551" s="14" t="n">
        <v>3</v>
      </c>
      <c r="M551" s="5" t="inlineStr"/>
      <c r="N551" s="5" t="inlineStr"/>
    </row>
    <row r="552">
      <c r="A552" s="13" t="inlineStr">
        <is>
          <t>00024293</t>
        </is>
      </c>
      <c r="B552" s="5" t="inlineStr">
        <is>
          <t>[00024293] OMEPREX 20MG 28CAP</t>
        </is>
      </c>
      <c r="C552" s="5" t="inlineStr">
        <is>
          <t>دواء</t>
        </is>
      </c>
      <c r="D552" s="13" t="inlineStr"/>
      <c r="E552" s="14">
        <f>L552-K552</f>
        <v/>
      </c>
      <c r="F552" s="14" t="n">
        <v>0</v>
      </c>
      <c r="G552" s="14">
        <f>F552-E552</f>
        <v/>
      </c>
      <c r="H552" s="7" t="n">
        <v>91.90000000000001</v>
      </c>
      <c r="I552" s="7">
        <f>G552*H552</f>
        <v/>
      </c>
      <c r="J552" s="16" t="inlineStr">
        <is>
          <t>لم يُجرد</t>
        </is>
      </c>
      <c r="K552" s="14" t="n">
        <v>0</v>
      </c>
      <c r="L552" s="14" t="n">
        <v>2</v>
      </c>
      <c r="M552" s="5" t="inlineStr"/>
      <c r="N552" s="5" t="inlineStr"/>
    </row>
    <row r="553">
      <c r="A553" s="13" t="inlineStr">
        <is>
          <t>00013770</t>
        </is>
      </c>
      <c r="B553" s="5" t="inlineStr">
        <is>
          <t>[00013770] FEMARA 2.5 MG</t>
        </is>
      </c>
      <c r="C553" s="5" t="inlineStr">
        <is>
          <t>دواء</t>
        </is>
      </c>
      <c r="D553" s="13" t="inlineStr">
        <is>
          <t>01076127914687661719</t>
        </is>
      </c>
      <c r="E553" s="14">
        <f>L553-K553</f>
        <v/>
      </c>
      <c r="F553" s="14" t="n">
        <v>0</v>
      </c>
      <c r="G553" s="14">
        <f>F553-E553</f>
        <v/>
      </c>
      <c r="H553" s="7" t="n">
        <v>183.55</v>
      </c>
      <c r="I553" s="7">
        <f>G553*H553</f>
        <v/>
      </c>
      <c r="J553" s="16" t="inlineStr">
        <is>
          <t>لم يُجرد</t>
        </is>
      </c>
      <c r="K553" s="14" t="n">
        <v>0</v>
      </c>
      <c r="L553" s="14" t="n">
        <v>1</v>
      </c>
      <c r="M553" s="5" t="inlineStr"/>
      <c r="N553" s="5" t="inlineStr"/>
    </row>
    <row r="554">
      <c r="A554" s="13" t="inlineStr">
        <is>
          <t>0005372</t>
        </is>
      </c>
      <c r="B554" s="5" t="inlineStr">
        <is>
          <t>[0005372] OTRIVIN 0.05% PEAD N. DROPS 10ML</t>
        </is>
      </c>
      <c r="C554" s="5" t="inlineStr">
        <is>
          <t>دواء</t>
        </is>
      </c>
      <c r="D554" s="13" t="inlineStr">
        <is>
          <t>07630035400129</t>
        </is>
      </c>
      <c r="E554" s="14">
        <f>L554-K554</f>
        <v/>
      </c>
      <c r="F554" s="14" t="n">
        <v>0</v>
      </c>
      <c r="G554" s="14">
        <f>F554-E554</f>
        <v/>
      </c>
      <c r="H554" s="7" t="n">
        <v>10.1</v>
      </c>
      <c r="I554" s="7">
        <f>G554*H554</f>
        <v/>
      </c>
      <c r="J554" s="16" t="inlineStr">
        <is>
          <t>لم يُجرد</t>
        </is>
      </c>
      <c r="K554" s="14" t="n">
        <v>0</v>
      </c>
      <c r="L554" s="14" t="n">
        <v>19</v>
      </c>
      <c r="M554" s="5" t="inlineStr"/>
      <c r="N554" s="5" t="inlineStr"/>
    </row>
    <row r="555">
      <c r="A555" s="13" t="inlineStr">
        <is>
          <t>0005644</t>
        </is>
      </c>
      <c r="B555" s="5" t="inlineStr">
        <is>
          <t>[0005644] MARNYS ROYAL JUNIOR SYRUP 125M</t>
        </is>
      </c>
      <c r="C555" s="5" t="inlineStr">
        <is>
          <t>دواء</t>
        </is>
      </c>
      <c r="D555" s="13" t="inlineStr">
        <is>
          <t>8410885079961</t>
        </is>
      </c>
      <c r="E555" s="14">
        <f>L555-K555</f>
        <v/>
      </c>
      <c r="F555" s="14" t="n">
        <v>0</v>
      </c>
      <c r="G555" s="14">
        <f>F555-E555</f>
        <v/>
      </c>
      <c r="H555" s="7" t="n">
        <v>11.95</v>
      </c>
      <c r="I555" s="7">
        <f>G555*H555</f>
        <v/>
      </c>
      <c r="J555" s="16" t="inlineStr">
        <is>
          <t>لم يُجرد</t>
        </is>
      </c>
      <c r="K555" s="14" t="n">
        <v>0</v>
      </c>
      <c r="L555" s="14" t="n">
        <v>16</v>
      </c>
      <c r="M555" s="5" t="inlineStr"/>
      <c r="N555" s="5" t="inlineStr"/>
    </row>
    <row r="556">
      <c r="A556" s="13" t="inlineStr">
        <is>
          <t>00025763</t>
        </is>
      </c>
      <c r="B556" s="5" t="inlineStr">
        <is>
          <t>[00025763] MOUNJARO 7.5</t>
        </is>
      </c>
      <c r="C556" s="5" t="inlineStr">
        <is>
          <t>دواء</t>
        </is>
      </c>
      <c r="D556" s="13" t="inlineStr">
        <is>
          <t>00300021232559</t>
        </is>
      </c>
      <c r="E556" s="14">
        <f>L556-K556</f>
        <v/>
      </c>
      <c r="F556" s="14" t="n">
        <v>0</v>
      </c>
      <c r="G556" s="14">
        <f>F556-E556</f>
        <v/>
      </c>
      <c r="H556" s="7" t="n">
        <v>1261.4</v>
      </c>
      <c r="I556" s="7">
        <f>G556*H556</f>
        <v/>
      </c>
      <c r="J556" s="16" t="inlineStr">
        <is>
          <t>لم يُجرد</t>
        </is>
      </c>
      <c r="K556" s="14" t="n">
        <v>0</v>
      </c>
      <c r="L556" s="14" t="n">
        <v>2</v>
      </c>
      <c r="M556" s="5" t="inlineStr"/>
      <c r="N556" s="5" t="inlineStr"/>
    </row>
    <row r="557">
      <c r="A557" s="13" t="inlineStr">
        <is>
          <t>0003678</t>
        </is>
      </c>
      <c r="B557" s="5" t="inlineStr">
        <is>
          <t>[0003678] FUCIDIN OINT 2% 30GM</t>
        </is>
      </c>
      <c r="C557" s="5" t="inlineStr">
        <is>
          <t>دواء</t>
        </is>
      </c>
      <c r="D557" s="13" t="inlineStr">
        <is>
          <t>05702191028133</t>
        </is>
      </c>
      <c r="E557" s="14">
        <f>L557-K557</f>
        <v/>
      </c>
      <c r="F557" s="14" t="n">
        <v>0</v>
      </c>
      <c r="G557" s="14">
        <f>F557-E557</f>
        <v/>
      </c>
      <c r="H557" s="7" t="n">
        <v>19.75</v>
      </c>
      <c r="I557" s="7">
        <f>G557*H557</f>
        <v/>
      </c>
      <c r="J557" s="16" t="inlineStr">
        <is>
          <t>لم يُجرد</t>
        </is>
      </c>
      <c r="K557" s="14" t="n">
        <v>0</v>
      </c>
      <c r="L557" s="14" t="n">
        <v>10</v>
      </c>
      <c r="M557" s="5" t="inlineStr"/>
      <c r="N557" s="5" t="inlineStr"/>
    </row>
    <row r="558">
      <c r="A558" s="13" t="inlineStr">
        <is>
          <t>0005362</t>
        </is>
      </c>
      <c r="B558" s="5" t="inlineStr">
        <is>
          <t>[0005362] OPTIMOL *5 % SOLUTION 5 ML</t>
        </is>
      </c>
      <c r="C558" s="5" t="inlineStr">
        <is>
          <t>دواء</t>
        </is>
      </c>
      <c r="D558" s="13" t="inlineStr">
        <is>
          <t>06285128000703</t>
        </is>
      </c>
      <c r="E558" s="14">
        <f>L558-K558</f>
        <v/>
      </c>
      <c r="F558" s="14" t="n">
        <v>0</v>
      </c>
      <c r="G558" s="14">
        <f>F558-E558</f>
        <v/>
      </c>
      <c r="H558" s="7" t="n">
        <v>31.5</v>
      </c>
      <c r="I558" s="7">
        <f>G558*H558</f>
        <v/>
      </c>
      <c r="J558" s="16" t="inlineStr">
        <is>
          <t>لم يُجرد</t>
        </is>
      </c>
      <c r="K558" s="14" t="n">
        <v>0</v>
      </c>
      <c r="L558" s="14" t="n">
        <v>6</v>
      </c>
      <c r="M558" s="5" t="inlineStr"/>
      <c r="N558" s="5" t="inlineStr"/>
    </row>
    <row r="559">
      <c r="A559" s="13" t="inlineStr">
        <is>
          <t>00045826</t>
        </is>
      </c>
      <c r="B559" s="5" t="inlineStr">
        <is>
          <t>[00045826] QUETAL XR 300 MG 30TAB</t>
        </is>
      </c>
      <c r="C559" s="5" t="inlineStr">
        <is>
          <t>دواء</t>
        </is>
      </c>
      <c r="D559" s="13" t="inlineStr"/>
      <c r="E559" s="14">
        <f>L559-K559</f>
        <v/>
      </c>
      <c r="F559" s="14" t="n">
        <v>0</v>
      </c>
      <c r="G559" s="14">
        <f>F559-E559</f>
        <v/>
      </c>
      <c r="H559" s="7" t="n">
        <v>180.95</v>
      </c>
      <c r="I559" s="7">
        <f>G559*H559</f>
        <v/>
      </c>
      <c r="J559" s="16" t="inlineStr">
        <is>
          <t>لم يُجرد</t>
        </is>
      </c>
      <c r="K559" s="14" t="n">
        <v>0</v>
      </c>
      <c r="L559" s="14" t="n">
        <v>1</v>
      </c>
      <c r="M559" s="5" t="inlineStr"/>
      <c r="N559" s="5" t="inlineStr"/>
    </row>
    <row r="560">
      <c r="A560" s="13" t="inlineStr">
        <is>
          <t>0003812</t>
        </is>
      </c>
      <c r="B560" s="5" t="inlineStr">
        <is>
          <t>[0003812] AMARYL 3MG 30TAB</t>
        </is>
      </c>
      <c r="C560" s="5" t="inlineStr">
        <is>
          <t>دواء</t>
        </is>
      </c>
      <c r="D560" s="13" t="inlineStr">
        <is>
          <t>06285088000034</t>
        </is>
      </c>
      <c r="E560" s="14">
        <f>L560-K560</f>
        <v/>
      </c>
      <c r="F560" s="14" t="n">
        <v>0</v>
      </c>
      <c r="G560" s="14">
        <f>F560-E560</f>
        <v/>
      </c>
      <c r="H560" s="7" t="n">
        <v>47.15</v>
      </c>
      <c r="I560" s="7">
        <f>G560*H560</f>
        <v/>
      </c>
      <c r="J560" s="16" t="inlineStr">
        <is>
          <t>لم يُجرد</t>
        </is>
      </c>
      <c r="K560" s="14" t="n">
        <v>0</v>
      </c>
      <c r="L560" s="14" t="n">
        <v>4</v>
      </c>
      <c r="M560" s="5" t="inlineStr"/>
      <c r="N560" s="5" t="inlineStr"/>
    </row>
    <row r="561">
      <c r="A561" s="13" t="inlineStr">
        <is>
          <t>00021461</t>
        </is>
      </c>
      <c r="B561" s="5" t="inlineStr">
        <is>
          <t>[00021461] VICHY LITACTIV COLLAGEN NIGHT 50ML CREAM 2520</t>
        </is>
      </c>
      <c r="C561" s="5" t="inlineStr">
        <is>
          <t>دواء</t>
        </is>
      </c>
      <c r="D561" s="13" t="inlineStr">
        <is>
          <t>3337875722520</t>
        </is>
      </c>
      <c r="E561" s="14">
        <f>L561-K561</f>
        <v/>
      </c>
      <c r="F561" s="14" t="n">
        <v>0</v>
      </c>
      <c r="G561" s="14">
        <f>F561-E561</f>
        <v/>
      </c>
      <c r="H561" s="7" t="n">
        <v>173</v>
      </c>
      <c r="I561" s="7">
        <f>G561*H561</f>
        <v/>
      </c>
      <c r="J561" s="16" t="inlineStr">
        <is>
          <t>لم يُجرد</t>
        </is>
      </c>
      <c r="K561" s="14" t="n">
        <v>0</v>
      </c>
      <c r="L561" s="14" t="n">
        <v>1</v>
      </c>
      <c r="M561" s="5" t="inlineStr"/>
      <c r="N561" s="5" t="inlineStr"/>
    </row>
    <row r="562">
      <c r="A562" s="13" t="inlineStr">
        <is>
          <t>0005231</t>
        </is>
      </c>
      <c r="B562" s="5" t="inlineStr">
        <is>
          <t>[0005231] PROFINAL XP 400MG 20TAB</t>
        </is>
      </c>
      <c r="C562" s="5" t="inlineStr">
        <is>
          <t>دواء</t>
        </is>
      </c>
      <c r="D562" s="13" t="inlineStr">
        <is>
          <t>01062911000841661719</t>
        </is>
      </c>
      <c r="E562" s="14">
        <f>L562-K562</f>
        <v/>
      </c>
      <c r="F562" s="14" t="n">
        <v>0</v>
      </c>
      <c r="G562" s="14">
        <f>F562-E562</f>
        <v/>
      </c>
      <c r="H562" s="7" t="n">
        <v>11.05</v>
      </c>
      <c r="I562" s="7">
        <f>G562*H562</f>
        <v/>
      </c>
      <c r="J562" s="16" t="inlineStr">
        <is>
          <t>لم يُجرد</t>
        </is>
      </c>
      <c r="K562" s="14" t="n">
        <v>0</v>
      </c>
      <c r="L562" s="14" t="n">
        <v>17</v>
      </c>
      <c r="M562" s="5" t="inlineStr"/>
      <c r="N562" s="5" t="inlineStr"/>
    </row>
    <row r="563">
      <c r="A563" s="13" t="inlineStr">
        <is>
          <t>00045765</t>
        </is>
      </c>
      <c r="B563" s="5" t="inlineStr">
        <is>
          <t>[00045765] AVALON BRONCAST 4MG 28TAB</t>
        </is>
      </c>
      <c r="C563" s="5" t="inlineStr">
        <is>
          <t>دواء</t>
        </is>
      </c>
      <c r="D563" s="13" t="inlineStr"/>
      <c r="E563" s="14">
        <f>L563-K563</f>
        <v/>
      </c>
      <c r="F563" s="14" t="n">
        <v>0</v>
      </c>
      <c r="G563" s="14">
        <f>F563-E563</f>
        <v/>
      </c>
      <c r="H563" s="7" t="n">
        <v>60</v>
      </c>
      <c r="I563" s="7">
        <f>G563*H563</f>
        <v/>
      </c>
      <c r="J563" s="16" t="inlineStr">
        <is>
          <t>لم يُجرد</t>
        </is>
      </c>
      <c r="K563" s="14" t="n">
        <v>0</v>
      </c>
      <c r="L563" s="14" t="n">
        <v>3</v>
      </c>
      <c r="M563" s="5" t="inlineStr"/>
      <c r="N563" s="5" t="inlineStr"/>
    </row>
    <row r="564">
      <c r="A564" s="13" t="inlineStr">
        <is>
          <t>0003963</t>
        </is>
      </c>
      <c r="B564" s="5" t="inlineStr">
        <is>
          <t>[0003963] DIFFERIN 0.1% CREAM 30GM</t>
        </is>
      </c>
      <c r="C564" s="5" t="inlineStr">
        <is>
          <t>دواء</t>
        </is>
      </c>
      <c r="D564" s="13" t="inlineStr">
        <is>
          <t>03499320010832</t>
        </is>
      </c>
      <c r="E564" s="14">
        <f>L564-K564</f>
        <v/>
      </c>
      <c r="F564" s="14" t="n">
        <v>0</v>
      </c>
      <c r="G564" s="14">
        <f>F564-E564</f>
        <v/>
      </c>
      <c r="H564" s="7" t="n">
        <v>18.75</v>
      </c>
      <c r="I564" s="7">
        <f>G564*H564</f>
        <v/>
      </c>
      <c r="J564" s="16" t="inlineStr">
        <is>
          <t>لم يُجرد</t>
        </is>
      </c>
      <c r="K564" s="14" t="n">
        <v>0</v>
      </c>
      <c r="L564" s="14" t="n">
        <v>10</v>
      </c>
      <c r="M564" s="5" t="inlineStr"/>
      <c r="N564" s="5" t="inlineStr"/>
    </row>
    <row r="565">
      <c r="A565" s="13" t="inlineStr">
        <is>
          <t>00036554</t>
        </is>
      </c>
      <c r="B565" s="5" t="inlineStr">
        <is>
          <t>[00036554] CAROXA SCAR GEL 15G</t>
        </is>
      </c>
      <c r="C565" s="5" t="inlineStr">
        <is>
          <t>دواء</t>
        </is>
      </c>
      <c r="D565" s="13" t="inlineStr">
        <is>
          <t>660111459915</t>
        </is>
      </c>
      <c r="E565" s="14">
        <f>L565-K565</f>
        <v/>
      </c>
      <c r="F565" s="14" t="n">
        <v>0</v>
      </c>
      <c r="G565" s="14">
        <f>F565-E565</f>
        <v/>
      </c>
      <c r="H565" s="7" t="n">
        <v>187</v>
      </c>
      <c r="I565" s="7">
        <f>G565*H565</f>
        <v/>
      </c>
      <c r="J565" s="16" t="inlineStr">
        <is>
          <t>لم يُجرد</t>
        </is>
      </c>
      <c r="K565" s="14" t="n">
        <v>0</v>
      </c>
      <c r="L565" s="14" t="n">
        <v>1</v>
      </c>
      <c r="M565" s="5" t="inlineStr"/>
      <c r="N565" s="5" t="inlineStr"/>
    </row>
    <row r="566">
      <c r="A566" s="13" t="inlineStr">
        <is>
          <t>0005732</t>
        </is>
      </c>
      <c r="B566" s="5" t="inlineStr">
        <is>
          <t>[0005732] ASTATIN 40 MG 30 TABLETS</t>
        </is>
      </c>
      <c r="C566" s="5" t="inlineStr">
        <is>
          <t>دواء</t>
        </is>
      </c>
      <c r="D566" s="13" t="inlineStr">
        <is>
          <t>06285128000161</t>
        </is>
      </c>
      <c r="E566" s="14">
        <f>L566-K566</f>
        <v/>
      </c>
      <c r="F566" s="14" t="n">
        <v>0</v>
      </c>
      <c r="G566" s="14">
        <f>F566-E566</f>
        <v/>
      </c>
      <c r="H566" s="7" t="n">
        <v>86.90000000000001</v>
      </c>
      <c r="I566" s="7">
        <f>G566*H566</f>
        <v/>
      </c>
      <c r="J566" s="16" t="inlineStr">
        <is>
          <t>لم يُجرد</t>
        </is>
      </c>
      <c r="K566" s="14" t="n">
        <v>0</v>
      </c>
      <c r="L566" s="14" t="n">
        <v>3</v>
      </c>
      <c r="M566" s="5" t="inlineStr"/>
      <c r="N566" s="5" t="inlineStr"/>
    </row>
    <row r="567">
      <c r="A567" s="13" t="inlineStr">
        <is>
          <t>00037832</t>
        </is>
      </c>
      <c r="B567" s="5" t="inlineStr">
        <is>
          <t>[00037832] MAW OMEGA D3 PLUS 30 CAP</t>
        </is>
      </c>
      <c r="C567" s="5" t="inlineStr">
        <is>
          <t>دواء</t>
        </is>
      </c>
      <c r="D567" s="13" t="inlineStr">
        <is>
          <t>6286709000150</t>
        </is>
      </c>
      <c r="E567" s="14">
        <f>L567-K567</f>
        <v/>
      </c>
      <c r="F567" s="14" t="n">
        <v>0</v>
      </c>
      <c r="G567" s="14">
        <f>F567-E567</f>
        <v/>
      </c>
      <c r="H567" s="7" t="n">
        <v>129.57</v>
      </c>
      <c r="I567" s="7">
        <f>G567*H567</f>
        <v/>
      </c>
      <c r="J567" s="16" t="inlineStr">
        <is>
          <t>لم يُجرد</t>
        </is>
      </c>
      <c r="K567" s="14" t="n">
        <v>0</v>
      </c>
      <c r="L567" s="14" t="n">
        <v>3</v>
      </c>
      <c r="M567" s="5" t="inlineStr"/>
      <c r="N567" s="5" t="inlineStr"/>
    </row>
    <row r="568">
      <c r="A568" s="13" t="inlineStr">
        <is>
          <t>0004615</t>
        </is>
      </c>
      <c r="B568" s="5" t="inlineStr">
        <is>
          <t>[0004615] VIDROP 15ML WASFA</t>
        </is>
      </c>
      <c r="C568" s="5" t="inlineStr">
        <is>
          <t>دواء</t>
        </is>
      </c>
      <c r="D568" s="13" t="inlineStr">
        <is>
          <t>06221508220422</t>
        </is>
      </c>
      <c r="E568" s="14">
        <f>L568-K568</f>
        <v/>
      </c>
      <c r="F568" s="14" t="n">
        <v>0</v>
      </c>
      <c r="G568" s="14">
        <f>F568-E568</f>
        <v/>
      </c>
      <c r="H568" s="7" t="n">
        <v>7.75</v>
      </c>
      <c r="I568" s="7">
        <f>G568*H568</f>
        <v/>
      </c>
      <c r="J568" s="16" t="inlineStr">
        <is>
          <t>لم يُجرد</t>
        </is>
      </c>
      <c r="K568" s="14" t="n">
        <v>0</v>
      </c>
      <c r="L568" s="14" t="n">
        <v>24</v>
      </c>
      <c r="M568" s="5" t="inlineStr"/>
      <c r="N568" s="5" t="inlineStr"/>
    </row>
    <row r="569">
      <c r="A569" s="13" t="inlineStr">
        <is>
          <t>00032671</t>
        </is>
      </c>
      <c r="B569" s="5" t="inlineStr">
        <is>
          <t>[00032671] BONOFLEX EXTRA 60 CHEW.7672 TAB</t>
        </is>
      </c>
      <c r="C569" s="5" t="inlineStr">
        <is>
          <t>دواء</t>
        </is>
      </c>
      <c r="D569" s="13" t="inlineStr">
        <is>
          <t>0748515537672</t>
        </is>
      </c>
      <c r="E569" s="14">
        <f>L569-K569</f>
        <v/>
      </c>
      <c r="F569" s="14" t="n">
        <v>0</v>
      </c>
      <c r="G569" s="14">
        <f>F569-E569</f>
        <v/>
      </c>
      <c r="H569" s="7" t="n">
        <v>180</v>
      </c>
      <c r="I569" s="7">
        <f>G569*H569</f>
        <v/>
      </c>
      <c r="J569" s="16" t="inlineStr">
        <is>
          <t>لم يُجرد</t>
        </is>
      </c>
      <c r="K569" s="14" t="n">
        <v>0</v>
      </c>
      <c r="L569" s="14" t="n">
        <v>2</v>
      </c>
      <c r="M569" s="5" t="inlineStr"/>
      <c r="N569" s="5" t="inlineStr"/>
    </row>
    <row r="570">
      <c r="A570" s="13" t="inlineStr">
        <is>
          <t>00035052</t>
        </is>
      </c>
      <c r="B570" s="5" t="inlineStr">
        <is>
          <t>[00035052] BERRY CAN ZINC 120ML SYP</t>
        </is>
      </c>
      <c r="C570" s="5" t="inlineStr">
        <is>
          <t>دواء</t>
        </is>
      </c>
      <c r="D570" s="13" t="inlineStr">
        <is>
          <t>748515537337</t>
        </is>
      </c>
      <c r="E570" s="14">
        <f>L570-K570</f>
        <v/>
      </c>
      <c r="F570" s="14" t="n">
        <v>0</v>
      </c>
      <c r="G570" s="14">
        <f>F570-E570</f>
        <v/>
      </c>
      <c r="H570" s="7" t="n">
        <v>120</v>
      </c>
      <c r="I570" s="7">
        <f>G570*H570</f>
        <v/>
      </c>
      <c r="J570" s="16" t="inlineStr">
        <is>
          <t>لم يُجرد</t>
        </is>
      </c>
      <c r="K570" s="14" t="n">
        <v>0</v>
      </c>
      <c r="L570" s="14" t="n">
        <v>3</v>
      </c>
      <c r="M570" s="5" t="inlineStr"/>
      <c r="N570" s="5" t="inlineStr"/>
    </row>
    <row r="571">
      <c r="A571" s="13" t="inlineStr">
        <is>
          <t>00018763</t>
        </is>
      </c>
      <c r="B571" s="5" t="inlineStr">
        <is>
          <t>[00018763] CELECT 200MG 20CAPS</t>
        </is>
      </c>
      <c r="C571" s="5" t="inlineStr">
        <is>
          <t>دواء</t>
        </is>
      </c>
      <c r="D571" s="13" t="inlineStr"/>
      <c r="E571" s="14">
        <f>L571-K571</f>
        <v/>
      </c>
      <c r="F571" s="14" t="n">
        <v>0</v>
      </c>
      <c r="G571" s="14">
        <f>F571-E571</f>
        <v/>
      </c>
      <c r="H571" s="7" t="n">
        <v>30.95</v>
      </c>
      <c r="I571" s="7">
        <f>G571*H571</f>
        <v/>
      </c>
      <c r="J571" s="16" t="inlineStr">
        <is>
          <t>لم يُجرد</t>
        </is>
      </c>
      <c r="K571" s="14" t="n">
        <v>0</v>
      </c>
      <c r="L571" s="14" t="n">
        <v>6</v>
      </c>
      <c r="M571" s="5" t="inlineStr"/>
      <c r="N571" s="5" t="inlineStr"/>
    </row>
    <row r="572">
      <c r="A572" s="13" t="inlineStr">
        <is>
          <t>0005624</t>
        </is>
      </c>
      <c r="B572" s="5" t="inlineStr">
        <is>
          <t>[0005624] AVALON AVOMACK SOLUTION 15ML F155/17</t>
        </is>
      </c>
      <c r="C572" s="5" t="inlineStr">
        <is>
          <t>دواء</t>
        </is>
      </c>
      <c r="D572" s="13" t="inlineStr">
        <is>
          <t>06285095002328</t>
        </is>
      </c>
      <c r="E572" s="14">
        <f>L572-K572</f>
        <v/>
      </c>
      <c r="F572" s="14" t="n">
        <v>0</v>
      </c>
      <c r="G572" s="14">
        <f>F572-E572</f>
        <v/>
      </c>
      <c r="H572" s="7" t="n">
        <v>24</v>
      </c>
      <c r="I572" s="7">
        <f>G572*H572</f>
        <v/>
      </c>
      <c r="J572" s="16" t="inlineStr">
        <is>
          <t>لم يُجرد</t>
        </is>
      </c>
      <c r="K572" s="14" t="n">
        <v>0</v>
      </c>
      <c r="L572" s="14" t="n">
        <v>8</v>
      </c>
      <c r="M572" s="5" t="inlineStr"/>
      <c r="N572" s="5" t="inlineStr"/>
    </row>
    <row r="573">
      <c r="A573" s="13" t="inlineStr">
        <is>
          <t>00026225</t>
        </is>
      </c>
      <c r="B573" s="5" t="inlineStr">
        <is>
          <t>[00026225] OTOMED EAR SPRAY.</t>
        </is>
      </c>
      <c r="C573" s="5" t="inlineStr">
        <is>
          <t>دواء</t>
        </is>
      </c>
      <c r="D573" s="13" t="inlineStr">
        <is>
          <t>785249791000</t>
        </is>
      </c>
      <c r="E573" s="14">
        <f>L573-K573</f>
        <v/>
      </c>
      <c r="F573" s="14" t="n">
        <v>0</v>
      </c>
      <c r="G573" s="14">
        <f>F573-E573</f>
        <v/>
      </c>
      <c r="H573" s="7" t="n">
        <v>46.1</v>
      </c>
      <c r="I573" s="7">
        <f>G573*H573</f>
        <v/>
      </c>
      <c r="J573" s="16" t="inlineStr">
        <is>
          <t>لم يُجرد</t>
        </is>
      </c>
      <c r="K573" s="14" t="n">
        <v>0</v>
      </c>
      <c r="L573" s="14" t="n">
        <v>4</v>
      </c>
      <c r="M573" s="5" t="inlineStr"/>
      <c r="N573" s="5" t="inlineStr"/>
    </row>
    <row r="574">
      <c r="A574" s="13" t="inlineStr">
        <is>
          <t>00021170</t>
        </is>
      </c>
      <c r="B574" s="5" t="inlineStr">
        <is>
          <t>[00021170] PROTOPIC 0.03 OINT 60GM</t>
        </is>
      </c>
      <c r="C574" s="5" t="inlineStr">
        <is>
          <t>دواء</t>
        </is>
      </c>
      <c r="D574" s="13" t="inlineStr"/>
      <c r="E574" s="14">
        <f>L574-K574</f>
        <v/>
      </c>
      <c r="F574" s="14" t="n">
        <v>0</v>
      </c>
      <c r="G574" s="14">
        <f>F574-E574</f>
        <v/>
      </c>
      <c r="H574" s="7" t="n">
        <v>176.6</v>
      </c>
      <c r="I574" s="7">
        <f>G574*H574</f>
        <v/>
      </c>
      <c r="J574" s="16" t="inlineStr">
        <is>
          <t>لم يُجرد</t>
        </is>
      </c>
      <c r="K574" s="14" t="n">
        <v>0</v>
      </c>
      <c r="L574" s="14" t="n">
        <v>1</v>
      </c>
      <c r="M574" s="5" t="inlineStr"/>
      <c r="N574" s="5" t="inlineStr"/>
    </row>
    <row r="575">
      <c r="A575" s="13" t="inlineStr">
        <is>
          <t>00012805</t>
        </is>
      </c>
      <c r="B575" s="5" t="inlineStr">
        <is>
          <t>[00012805] PREXAL 5MG 30TAB</t>
        </is>
      </c>
      <c r="C575" s="5" t="inlineStr">
        <is>
          <t>دواء</t>
        </is>
      </c>
      <c r="D575" s="13" t="inlineStr">
        <is>
          <t>01062515990006271720</t>
        </is>
      </c>
      <c r="E575" s="14">
        <f>L575-K575</f>
        <v/>
      </c>
      <c r="F575" s="14" t="n">
        <v>0</v>
      </c>
      <c r="G575" s="14">
        <f>F575-E575</f>
        <v/>
      </c>
      <c r="H575" s="7" t="n">
        <v>97.3</v>
      </c>
      <c r="I575" s="7">
        <f>G575*H575</f>
        <v/>
      </c>
      <c r="J575" s="16" t="inlineStr">
        <is>
          <t>لم يُجرد</t>
        </is>
      </c>
      <c r="K575" s="14" t="n">
        <v>0</v>
      </c>
      <c r="L575" s="14" t="n">
        <v>2</v>
      </c>
      <c r="M575" s="5" t="inlineStr"/>
      <c r="N575" s="5" t="inlineStr"/>
    </row>
    <row r="576">
      <c r="A576" s="13" t="inlineStr">
        <is>
          <t>00012813</t>
        </is>
      </c>
      <c r="B576" s="5" t="inlineStr">
        <is>
          <t>[00012813] AVALON KLARE 500MG 14TAB</t>
        </is>
      </c>
      <c r="C576" s="5" t="inlineStr">
        <is>
          <t>دواء</t>
        </is>
      </c>
      <c r="D576" s="13" t="inlineStr">
        <is>
          <t>06285095006883</t>
        </is>
      </c>
      <c r="E576" s="14">
        <f>L576-K576</f>
        <v/>
      </c>
      <c r="F576" s="14" t="n">
        <v>0</v>
      </c>
      <c r="G576" s="14">
        <f>F576-E576</f>
        <v/>
      </c>
      <c r="H576" s="7" t="n">
        <v>46.05</v>
      </c>
      <c r="I576" s="7">
        <f>G576*H576</f>
        <v/>
      </c>
      <c r="J576" s="16" t="inlineStr">
        <is>
          <t>لم يُجرد</t>
        </is>
      </c>
      <c r="K576" s="14" t="n">
        <v>0</v>
      </c>
      <c r="L576" s="14" t="n">
        <v>4</v>
      </c>
      <c r="M576" s="5" t="inlineStr"/>
      <c r="N576" s="5" t="inlineStr"/>
    </row>
    <row r="577">
      <c r="A577" s="13" t="inlineStr">
        <is>
          <t>0005585</t>
        </is>
      </c>
      <c r="B577" s="5" t="inlineStr">
        <is>
          <t>[0005585] MONTEL 4MG 28CHEW TAB</t>
        </is>
      </c>
      <c r="C577" s="5" t="inlineStr">
        <is>
          <t>دواء</t>
        </is>
      </c>
      <c r="D577" s="13" t="inlineStr"/>
      <c r="E577" s="14">
        <f>L577-K577</f>
        <v/>
      </c>
      <c r="F577" s="14" t="n">
        <v>0</v>
      </c>
      <c r="G577" s="14">
        <f>F577-E577</f>
        <v/>
      </c>
      <c r="H577" s="7" t="n">
        <v>88.25</v>
      </c>
      <c r="I577" s="7">
        <f>G577*H577</f>
        <v/>
      </c>
      <c r="J577" s="16" t="inlineStr">
        <is>
          <t>لم يُجرد</t>
        </is>
      </c>
      <c r="K577" s="14" t="n">
        <v>0</v>
      </c>
      <c r="L577" s="14" t="n">
        <v>2</v>
      </c>
      <c r="M577" s="5" t="inlineStr"/>
      <c r="N577" s="5" t="inlineStr"/>
    </row>
    <row r="578">
      <c r="A578" s="13" t="inlineStr">
        <is>
          <t>00018086</t>
        </is>
      </c>
      <c r="B578" s="5" t="inlineStr">
        <is>
          <t>[00018086] I CROSS 0.2% EYE DROPS</t>
        </is>
      </c>
      <c r="C578" s="5" t="inlineStr">
        <is>
          <t>دواء</t>
        </is>
      </c>
      <c r="D578" s="13" t="inlineStr">
        <is>
          <t>8056420810004</t>
        </is>
      </c>
      <c r="E578" s="14">
        <f>L578-K578</f>
        <v/>
      </c>
      <c r="F578" s="14" t="n">
        <v>0</v>
      </c>
      <c r="G578" s="14">
        <f>F578-E578</f>
        <v/>
      </c>
      <c r="H578" s="7" t="n">
        <v>88</v>
      </c>
      <c r="I578" s="7">
        <f>G578*H578</f>
        <v/>
      </c>
      <c r="J578" s="16" t="inlineStr">
        <is>
          <t>لم يُجرد</t>
        </is>
      </c>
      <c r="K578" s="14" t="n">
        <v>0</v>
      </c>
      <c r="L578" s="14" t="n">
        <v>2</v>
      </c>
      <c r="M578" s="5" t="inlineStr"/>
      <c r="N578" s="5" t="inlineStr"/>
    </row>
    <row r="579">
      <c r="A579" s="13" t="inlineStr">
        <is>
          <t>00035070</t>
        </is>
      </c>
      <c r="B579" s="5" t="inlineStr">
        <is>
          <t>[00035070] TADIL 20MG 10 TAB</t>
        </is>
      </c>
      <c r="C579" s="5" t="inlineStr">
        <is>
          <t>دواء</t>
        </is>
      </c>
      <c r="D579" s="13" t="inlineStr">
        <is>
          <t>6286434000128</t>
        </is>
      </c>
      <c r="E579" s="14">
        <f>L579-K579</f>
        <v/>
      </c>
      <c r="F579" s="14" t="n">
        <v>0</v>
      </c>
      <c r="G579" s="14">
        <f>F579-E579</f>
        <v/>
      </c>
      <c r="H579" s="7" t="n">
        <v>160</v>
      </c>
      <c r="I579" s="7">
        <f>G579*H579</f>
        <v/>
      </c>
      <c r="J579" s="16" t="inlineStr">
        <is>
          <t>لم يُجرد</t>
        </is>
      </c>
      <c r="K579" s="14" t="n">
        <v>0</v>
      </c>
      <c r="L579" s="14" t="n">
        <v>1.1</v>
      </c>
      <c r="M579" s="5" t="inlineStr"/>
      <c r="N579" s="5" t="inlineStr"/>
    </row>
    <row r="580">
      <c r="A580" s="13" t="inlineStr">
        <is>
          <t>0003226</t>
        </is>
      </c>
      <c r="B580" s="5" t="inlineStr">
        <is>
          <t>[0003226] TABUNEX 005% NASAL SPRAY*****</t>
        </is>
      </c>
      <c r="C580" s="5" t="inlineStr">
        <is>
          <t>دواء</t>
        </is>
      </c>
      <c r="D580" s="13" t="inlineStr">
        <is>
          <t>01062851470046211720</t>
        </is>
      </c>
      <c r="E580" s="14">
        <f>L580-K580</f>
        <v/>
      </c>
      <c r="F580" s="14" t="n">
        <v>0</v>
      </c>
      <c r="G580" s="14">
        <f>F580-E580</f>
        <v/>
      </c>
      <c r="H580" s="7" t="n">
        <v>46.25</v>
      </c>
      <c r="I580" s="7">
        <f>G580*H580</f>
        <v/>
      </c>
      <c r="J580" s="16" t="inlineStr">
        <is>
          <t>لم يُجرد</t>
        </is>
      </c>
      <c r="K580" s="14" t="n">
        <v>0</v>
      </c>
      <c r="L580" s="14" t="n">
        <v>4</v>
      </c>
      <c r="M580" s="5" t="inlineStr"/>
      <c r="N580" s="5" t="inlineStr"/>
    </row>
    <row r="581">
      <c r="A581" s="13" t="inlineStr">
        <is>
          <t>0004664</t>
        </is>
      </c>
      <c r="B581" s="5" t="inlineStr">
        <is>
          <t>[0004664] VESICARE 10MG 30TAB</t>
        </is>
      </c>
      <c r="C581" s="5" t="inlineStr">
        <is>
          <t>دواء</t>
        </is>
      </c>
      <c r="D581" s="13" t="inlineStr">
        <is>
          <t>010628509400027110F1</t>
        </is>
      </c>
      <c r="E581" s="14">
        <f>L581-K581</f>
        <v/>
      </c>
      <c r="F581" s="14" t="n">
        <v>0</v>
      </c>
      <c r="G581" s="14">
        <f>F581-E581</f>
        <v/>
      </c>
      <c r="H581" s="7" t="n">
        <v>174.7</v>
      </c>
      <c r="I581" s="7">
        <f>G581*H581</f>
        <v/>
      </c>
      <c r="J581" s="16" t="inlineStr">
        <is>
          <t>لم يُجرد</t>
        </is>
      </c>
      <c r="K581" s="14" t="n">
        <v>0</v>
      </c>
      <c r="L581" s="14" t="n">
        <v>1</v>
      </c>
      <c r="M581" s="5" t="inlineStr"/>
      <c r="N581" s="5" t="inlineStr"/>
    </row>
    <row r="582">
      <c r="A582" s="13" t="inlineStr">
        <is>
          <t>0005403</t>
        </is>
      </c>
      <c r="B582" s="5" t="inlineStr">
        <is>
          <t>[0005403] OLMETEC PLUS 40/25 MG TABLETS</t>
        </is>
      </c>
      <c r="C582" s="5" t="inlineStr">
        <is>
          <t>دواء</t>
        </is>
      </c>
      <c r="D582" s="13" t="inlineStr">
        <is>
          <t>06285094000240</t>
        </is>
      </c>
      <c r="E582" s="14">
        <f>L582-K582</f>
        <v/>
      </c>
      <c r="F582" s="14" t="n">
        <v>0</v>
      </c>
      <c r="G582" s="14">
        <f>F582-E582</f>
        <v/>
      </c>
      <c r="H582" s="7" t="n">
        <v>87.3</v>
      </c>
      <c r="I582" s="7">
        <f>G582*H582</f>
        <v/>
      </c>
      <c r="J582" s="16" t="inlineStr">
        <is>
          <t>لم يُجرد</t>
        </is>
      </c>
      <c r="K582" s="14" t="n">
        <v>0</v>
      </c>
      <c r="L582" s="14" t="n">
        <v>2</v>
      </c>
      <c r="M582" s="5" t="inlineStr"/>
      <c r="N582" s="5" t="inlineStr"/>
    </row>
    <row r="583">
      <c r="A583" s="13" t="inlineStr">
        <is>
          <t>0005428</t>
        </is>
      </c>
      <c r="B583" s="5" t="inlineStr">
        <is>
          <t>[0005428] OMIZ 20 MG 14 CAPS</t>
        </is>
      </c>
      <c r="C583" s="5" t="inlineStr">
        <is>
          <t>دواء</t>
        </is>
      </c>
      <c r="D583" s="13" t="inlineStr">
        <is>
          <t>01062851470029861719</t>
        </is>
      </c>
      <c r="E583" s="14">
        <f>L583-K583</f>
        <v/>
      </c>
      <c r="F583" s="14" t="n">
        <v>0</v>
      </c>
      <c r="G583" s="14">
        <f>F583-E583</f>
        <v/>
      </c>
      <c r="H583" s="7" t="n">
        <v>45.95</v>
      </c>
      <c r="I583" s="7">
        <f>G583*H583</f>
        <v/>
      </c>
      <c r="J583" s="16" t="inlineStr">
        <is>
          <t>لم يُجرد</t>
        </is>
      </c>
      <c r="K583" s="14" t="n">
        <v>0</v>
      </c>
      <c r="L583" s="14" t="n">
        <v>4</v>
      </c>
      <c r="M583" s="5" t="inlineStr"/>
      <c r="N583" s="5" t="inlineStr"/>
    </row>
    <row r="584">
      <c r="A584" s="13" t="inlineStr">
        <is>
          <t>00042977</t>
        </is>
      </c>
      <c r="B584" s="5" t="inlineStr">
        <is>
          <t>[00042977] VERTEX 20 MG 28 TAB</t>
        </is>
      </c>
      <c r="C584" s="5" t="inlineStr">
        <is>
          <t>دواء</t>
        </is>
      </c>
      <c r="D584" s="13" t="inlineStr"/>
      <c r="E584" s="14">
        <f>L584-K584</f>
        <v/>
      </c>
      <c r="F584" s="14" t="n">
        <v>0</v>
      </c>
      <c r="G584" s="14">
        <f>F584-E584</f>
        <v/>
      </c>
      <c r="H584" s="7" t="n">
        <v>87.25</v>
      </c>
      <c r="I584" s="7">
        <f>G584*H584</f>
        <v/>
      </c>
      <c r="J584" s="16" t="inlineStr">
        <is>
          <t>لم يُجرد</t>
        </is>
      </c>
      <c r="K584" s="14" t="n">
        <v>0</v>
      </c>
      <c r="L584" s="14" t="n">
        <v>2</v>
      </c>
      <c r="M584" s="5" t="inlineStr"/>
      <c r="N584" s="5" t="inlineStr"/>
    </row>
    <row r="585">
      <c r="A585" s="13" t="inlineStr">
        <is>
          <t>00031855</t>
        </is>
      </c>
      <c r="B585" s="5" t="inlineStr">
        <is>
          <t>[00031855] RESILIA 80MG TAB</t>
        </is>
      </c>
      <c r="C585" s="5" t="inlineStr">
        <is>
          <t>دواء</t>
        </is>
      </c>
      <c r="D585" s="13" t="inlineStr"/>
      <c r="E585" s="14">
        <f>L585-K585</f>
        <v/>
      </c>
      <c r="F585" s="14" t="n">
        <v>0</v>
      </c>
      <c r="G585" s="14">
        <f>F585-E585</f>
        <v/>
      </c>
      <c r="H585" s="7" t="n">
        <v>87</v>
      </c>
      <c r="I585" s="7">
        <f>G585*H585</f>
        <v/>
      </c>
      <c r="J585" s="16" t="inlineStr">
        <is>
          <t>لم يُجرد</t>
        </is>
      </c>
      <c r="K585" s="14" t="n">
        <v>0</v>
      </c>
      <c r="L585" s="14" t="n">
        <v>2</v>
      </c>
      <c r="M585" s="5" t="inlineStr"/>
      <c r="N585" s="5" t="inlineStr"/>
    </row>
    <row r="586">
      <c r="A586" s="13" t="inlineStr">
        <is>
          <t>0004110</t>
        </is>
      </c>
      <c r="B586" s="5" t="inlineStr">
        <is>
          <t>[0004110] COMFORT CREAM 100 GM</t>
        </is>
      </c>
      <c r="C586" s="5" t="inlineStr">
        <is>
          <t>دواء</t>
        </is>
      </c>
      <c r="D586" s="13" t="inlineStr">
        <is>
          <t>06281086240335</t>
        </is>
      </c>
      <c r="E586" s="14">
        <f>L586-K586</f>
        <v/>
      </c>
      <c r="F586" s="14" t="n">
        <v>0</v>
      </c>
      <c r="G586" s="14">
        <f>F586-E586</f>
        <v/>
      </c>
      <c r="H586" s="7" t="n">
        <v>54</v>
      </c>
      <c r="I586" s="7">
        <f>G586*H586</f>
        <v/>
      </c>
      <c r="J586" s="16" t="inlineStr">
        <is>
          <t>لم يُجرد</t>
        </is>
      </c>
      <c r="K586" s="14" t="n">
        <v>0</v>
      </c>
      <c r="L586" s="14" t="n">
        <v>8</v>
      </c>
      <c r="M586" s="5" t="inlineStr"/>
      <c r="N586" s="5" t="inlineStr"/>
    </row>
    <row r="587">
      <c r="A587" s="13" t="inlineStr">
        <is>
          <t>00020718</t>
        </is>
      </c>
      <c r="B587" s="5" t="inlineStr">
        <is>
          <t>[00020718] BETAVERT 24MG 30 TAB WASFA</t>
        </is>
      </c>
      <c r="C587" s="5" t="inlineStr">
        <is>
          <t>دواء</t>
        </is>
      </c>
      <c r="D587" s="13" t="inlineStr">
        <is>
          <t>06285128015967</t>
        </is>
      </c>
      <c r="E587" s="14">
        <f>L587-K587</f>
        <v/>
      </c>
      <c r="F587" s="14" t="n">
        <v>0</v>
      </c>
      <c r="G587" s="14">
        <f>F587-E587</f>
        <v/>
      </c>
      <c r="H587" s="7" t="n">
        <v>24.3</v>
      </c>
      <c r="I587" s="7">
        <f>G587*H587</f>
        <v/>
      </c>
      <c r="J587" s="16" t="inlineStr">
        <is>
          <t>لم يُجرد</t>
        </is>
      </c>
      <c r="K587" s="14" t="n">
        <v>0</v>
      </c>
      <c r="L587" s="14" t="n">
        <v>9</v>
      </c>
      <c r="M587" s="5" t="inlineStr"/>
      <c r="N587" s="5" t="inlineStr"/>
    </row>
    <row r="588">
      <c r="A588" s="13" t="inlineStr">
        <is>
          <t>0005103</t>
        </is>
      </c>
      <c r="B588" s="5" t="inlineStr">
        <is>
          <t>[0005103] RIDONE 2 MG 30 TAB</t>
        </is>
      </c>
      <c r="C588" s="5" t="inlineStr">
        <is>
          <t>دواء</t>
        </is>
      </c>
      <c r="D588" s="13" t="inlineStr">
        <is>
          <t>6281102231453</t>
        </is>
      </c>
      <c r="E588" s="14">
        <f>L588-K588</f>
        <v/>
      </c>
      <c r="F588" s="14" t="n">
        <v>0</v>
      </c>
      <c r="G588" s="14">
        <f>F588-E588</f>
        <v/>
      </c>
      <c r="H588" s="7" t="n">
        <v>86.7</v>
      </c>
      <c r="I588" s="7">
        <f>G588*H588</f>
        <v/>
      </c>
      <c r="J588" s="16" t="inlineStr">
        <is>
          <t>لم يُجرد</t>
        </is>
      </c>
      <c r="K588" s="14" t="n">
        <v>0</v>
      </c>
      <c r="L588" s="14" t="n">
        <v>2</v>
      </c>
      <c r="M588" s="5" t="inlineStr"/>
      <c r="N588" s="5" t="inlineStr"/>
    </row>
    <row r="589">
      <c r="A589" s="13" t="inlineStr">
        <is>
          <t>00019492</t>
        </is>
      </c>
      <c r="B589" s="5" t="inlineStr">
        <is>
          <t>[00019492] AVALON CORTRIEF NASAL SPRAY</t>
        </is>
      </c>
      <c r="C589" s="5" t="inlineStr">
        <is>
          <t>دواء</t>
        </is>
      </c>
      <c r="D589" s="13" t="inlineStr"/>
      <c r="E589" s="14">
        <f>L589-K589</f>
        <v/>
      </c>
      <c r="F589" s="14" t="n">
        <v>0</v>
      </c>
      <c r="G589" s="14">
        <f>F589-E589</f>
        <v/>
      </c>
      <c r="H589" s="7" t="n">
        <v>45</v>
      </c>
      <c r="I589" s="7">
        <f>G589*H589</f>
        <v/>
      </c>
      <c r="J589" s="16" t="inlineStr">
        <is>
          <t>لم يُجرد</t>
        </is>
      </c>
      <c r="K589" s="14" t="n">
        <v>0</v>
      </c>
      <c r="L589" s="14" t="n">
        <v>4</v>
      </c>
      <c r="M589" s="5" t="inlineStr"/>
      <c r="N589" s="5" t="inlineStr"/>
    </row>
    <row r="590">
      <c r="A590" s="13" t="inlineStr">
        <is>
          <t>0003261</t>
        </is>
      </c>
      <c r="B590" s="5" t="inlineStr">
        <is>
          <t>[0003261] TEARS NAT. FREE EYE DROPS</t>
        </is>
      </c>
      <c r="C590" s="5" t="inlineStr">
        <is>
          <t>دواء</t>
        </is>
      </c>
      <c r="D590" s="13" t="inlineStr">
        <is>
          <t>01037000285023152126</t>
        </is>
      </c>
      <c r="E590" s="14">
        <f>L590-K590</f>
        <v/>
      </c>
      <c r="F590" s="14" t="n">
        <v>0</v>
      </c>
      <c r="G590" s="14">
        <f>F590-E590</f>
        <v/>
      </c>
      <c r="H590" s="7" t="n">
        <v>45</v>
      </c>
      <c r="I590" s="7">
        <f>G590*H590</f>
        <v/>
      </c>
      <c r="J590" s="16" t="inlineStr">
        <is>
          <t>لم يُجرد</t>
        </is>
      </c>
      <c r="K590" s="14" t="n">
        <v>0</v>
      </c>
      <c r="L590" s="14" t="n">
        <v>4</v>
      </c>
      <c r="M590" s="5" t="inlineStr"/>
      <c r="N590" s="5" t="inlineStr"/>
    </row>
    <row r="591">
      <c r="A591" s="13" t="inlineStr">
        <is>
          <t>00046777</t>
        </is>
      </c>
      <c r="B591" s="5" t="inlineStr">
        <is>
          <t>[00046777] IDREX INHALATION SOLUTION 9412</t>
        </is>
      </c>
      <c r="C591" s="5" t="inlineStr">
        <is>
          <t>دواء</t>
        </is>
      </c>
      <c r="D591" s="13" t="inlineStr">
        <is>
          <t>6285085009412</t>
        </is>
      </c>
      <c r="E591" s="14">
        <f>L591-K591</f>
        <v/>
      </c>
      <c r="F591" s="14" t="n">
        <v>0</v>
      </c>
      <c r="G591" s="14">
        <f>F591-E591</f>
        <v/>
      </c>
      <c r="H591" s="7" t="n">
        <v>48</v>
      </c>
      <c r="I591" s="7">
        <f>G591*H591</f>
        <v/>
      </c>
      <c r="J591" s="16" t="inlineStr">
        <is>
          <t>لم يُجرد</t>
        </is>
      </c>
      <c r="K591" s="14" t="n">
        <v>0</v>
      </c>
      <c r="L591" s="14" t="n">
        <v>3</v>
      </c>
      <c r="M591" s="5" t="inlineStr"/>
      <c r="N591" s="5" t="inlineStr"/>
    </row>
    <row r="592">
      <c r="A592" s="13" t="inlineStr">
        <is>
          <t>0005002</t>
        </is>
      </c>
      <c r="B592" s="5" t="inlineStr">
        <is>
          <t>[0005002] SAPOFEN 600MG 30 TAB</t>
        </is>
      </c>
      <c r="C592" s="5" t="inlineStr">
        <is>
          <t>دواء</t>
        </is>
      </c>
      <c r="D592" s="13" t="inlineStr">
        <is>
          <t>06281086011065</t>
        </is>
      </c>
      <c r="E592" s="14">
        <f>L592-K592</f>
        <v/>
      </c>
      <c r="F592" s="14" t="n">
        <v>0</v>
      </c>
      <c r="G592" s="14">
        <f>F592-E592</f>
        <v/>
      </c>
      <c r="H592" s="7" t="n">
        <v>17.4</v>
      </c>
      <c r="I592" s="7">
        <f>G592*H592</f>
        <v/>
      </c>
      <c r="J592" s="16" t="inlineStr">
        <is>
          <t>لم يُجرد</t>
        </is>
      </c>
      <c r="K592" s="14" t="n">
        <v>0</v>
      </c>
      <c r="L592" s="14" t="n">
        <v>10.34</v>
      </c>
      <c r="M592" s="5" t="inlineStr"/>
      <c r="N592" s="5" t="inlineStr"/>
    </row>
    <row r="593">
      <c r="A593" s="13" t="inlineStr">
        <is>
          <t>00019774</t>
        </is>
      </c>
      <c r="B593" s="5" t="inlineStr">
        <is>
          <t>[00019774] PJUR MED PRO 7130 LONG SPRAY 20ML.</t>
        </is>
      </c>
      <c r="C593" s="5" t="inlineStr">
        <is>
          <t>دواء</t>
        </is>
      </c>
      <c r="D593" s="13" t="inlineStr">
        <is>
          <t>0827160107130</t>
        </is>
      </c>
      <c r="E593" s="14">
        <f>L593-K593</f>
        <v/>
      </c>
      <c r="F593" s="14" t="n">
        <v>0</v>
      </c>
      <c r="G593" s="14">
        <f>F593-E593</f>
        <v/>
      </c>
      <c r="H593" s="7" t="n">
        <v>149</v>
      </c>
      <c r="I593" s="7">
        <f>G593*H593</f>
        <v/>
      </c>
      <c r="J593" s="16" t="inlineStr">
        <is>
          <t>لم يُجرد</t>
        </is>
      </c>
      <c r="K593" s="14" t="n">
        <v>0</v>
      </c>
      <c r="L593" s="14" t="n">
        <v>2</v>
      </c>
      <c r="M593" s="5" t="inlineStr"/>
      <c r="N593" s="5" t="inlineStr"/>
    </row>
    <row r="594">
      <c r="A594" s="13" t="inlineStr">
        <is>
          <t>0003987</t>
        </is>
      </c>
      <c r="B594" s="5" t="inlineStr">
        <is>
          <t>[0003987] DEXAFLOX 5ML EYE DROPS</t>
        </is>
      </c>
      <c r="C594" s="5" t="inlineStr">
        <is>
          <t>دواء</t>
        </is>
      </c>
      <c r="D594" s="13" t="inlineStr">
        <is>
          <t>06285128000291</t>
        </is>
      </c>
      <c r="E594" s="14">
        <f>L594-K594</f>
        <v/>
      </c>
      <c r="F594" s="14" t="n">
        <v>0</v>
      </c>
      <c r="G594" s="14">
        <f>F594-E594</f>
        <v/>
      </c>
      <c r="H594" s="7" t="n">
        <v>14.95</v>
      </c>
      <c r="I594" s="7">
        <f>G594*H594</f>
        <v/>
      </c>
      <c r="J594" s="16" t="inlineStr">
        <is>
          <t>لم يُجرد</t>
        </is>
      </c>
      <c r="K594" s="14" t="n">
        <v>0</v>
      </c>
      <c r="L594" s="14" t="n">
        <v>12</v>
      </c>
      <c r="M594" s="5" t="inlineStr"/>
      <c r="N594" s="5" t="inlineStr"/>
    </row>
    <row r="595">
      <c r="A595" s="13" t="inlineStr">
        <is>
          <t>00027803</t>
        </is>
      </c>
      <c r="B595" s="5" t="inlineStr">
        <is>
          <t>[00027803] CEFUZIME 500MG 15TAB</t>
        </is>
      </c>
      <c r="C595" s="5" t="inlineStr">
        <is>
          <t>دواء</t>
        </is>
      </c>
      <c r="D595" s="13" t="inlineStr">
        <is>
          <t>06291100089864</t>
        </is>
      </c>
      <c r="E595" s="14">
        <f>L595-K595</f>
        <v/>
      </c>
      <c r="F595" s="14" t="n">
        <v>0</v>
      </c>
      <c r="G595" s="14">
        <f>F595-E595</f>
        <v/>
      </c>
      <c r="H595" s="7" t="n">
        <v>85.84999999999999</v>
      </c>
      <c r="I595" s="7">
        <f>G595*H595</f>
        <v/>
      </c>
      <c r="J595" s="16" t="inlineStr">
        <is>
          <t>لم يُجرد</t>
        </is>
      </c>
      <c r="K595" s="14" t="n">
        <v>0</v>
      </c>
      <c r="L595" s="14" t="n">
        <v>2</v>
      </c>
      <c r="M595" s="5" t="inlineStr"/>
      <c r="N595" s="5" t="inlineStr"/>
    </row>
    <row r="596">
      <c r="A596" s="13" t="inlineStr">
        <is>
          <t>00046137</t>
        </is>
      </c>
      <c r="B596" s="5" t="inlineStr">
        <is>
          <t>[00046137] XEVANEER 125MG 40ML SYP WASFA</t>
        </is>
      </c>
      <c r="C596" s="5" t="inlineStr">
        <is>
          <t>دواء</t>
        </is>
      </c>
      <c r="D596" s="13" t="inlineStr">
        <is>
          <t>6251107426864</t>
        </is>
      </c>
      <c r="E596" s="14">
        <f>L596-K596</f>
        <v/>
      </c>
      <c r="F596" s="14" t="n">
        <v>0</v>
      </c>
      <c r="G596" s="14">
        <f>F596-E596</f>
        <v/>
      </c>
      <c r="H596" s="7" t="n">
        <v>29.8</v>
      </c>
      <c r="I596" s="7">
        <f>G596*H596</f>
        <v/>
      </c>
      <c r="J596" s="16" t="inlineStr">
        <is>
          <t>لم يُجرد</t>
        </is>
      </c>
      <c r="K596" s="14" t="n">
        <v>0</v>
      </c>
      <c r="L596" s="14" t="n">
        <v>6</v>
      </c>
      <c r="M596" s="5" t="inlineStr"/>
      <c r="N596" s="5" t="inlineStr"/>
    </row>
    <row r="597">
      <c r="A597" s="13" t="inlineStr">
        <is>
          <t>0009193</t>
        </is>
      </c>
      <c r="B597" s="5" t="inlineStr">
        <is>
          <t>[0009193] MOVE ON SPRAY 200ML7320</t>
        </is>
      </c>
      <c r="C597" s="5" t="inlineStr">
        <is>
          <t>دواء</t>
        </is>
      </c>
      <c r="D597" s="13" t="inlineStr">
        <is>
          <t>8809328357320</t>
        </is>
      </c>
      <c r="E597" s="14">
        <f>L597-K597</f>
        <v/>
      </c>
      <c r="F597" s="14" t="n">
        <v>0</v>
      </c>
      <c r="G597" s="14">
        <f>F597-E597</f>
        <v/>
      </c>
      <c r="H597" s="7" t="n">
        <v>65</v>
      </c>
      <c r="I597" s="7">
        <f>G597*H597</f>
        <v/>
      </c>
      <c r="J597" s="16" t="inlineStr">
        <is>
          <t>لم يُجرد</t>
        </is>
      </c>
      <c r="K597" s="14" t="n">
        <v>0</v>
      </c>
      <c r="L597" s="14" t="n">
        <v>4</v>
      </c>
      <c r="M597" s="5" t="inlineStr"/>
      <c r="N597" s="5" t="inlineStr"/>
    </row>
    <row r="598">
      <c r="A598" s="13" t="inlineStr">
        <is>
          <t>0005200</t>
        </is>
      </c>
      <c r="B598" s="5" t="inlineStr">
        <is>
          <t>[0005200] RENNIE PEPPERMINT 48 TAB</t>
        </is>
      </c>
      <c r="C598" s="5" t="inlineStr">
        <is>
          <t>دواء</t>
        </is>
      </c>
      <c r="D598" s="13" t="inlineStr"/>
      <c r="E598" s="14">
        <f>L598-K598</f>
        <v/>
      </c>
      <c r="F598" s="14" t="n">
        <v>0</v>
      </c>
      <c r="G598" s="14">
        <f>F598-E598</f>
        <v/>
      </c>
      <c r="H598" s="7" t="n">
        <v>11.15</v>
      </c>
      <c r="I598" s="7">
        <f>G598*H598</f>
        <v/>
      </c>
      <c r="J598" s="16" t="inlineStr">
        <is>
          <t>لم يُجرد</t>
        </is>
      </c>
      <c r="K598" s="14" t="n">
        <v>0</v>
      </c>
      <c r="L598" s="14" t="n">
        <v>16</v>
      </c>
      <c r="M598" s="5" t="inlineStr"/>
      <c r="N598" s="5" t="inlineStr"/>
    </row>
    <row r="599">
      <c r="A599" s="13" t="inlineStr">
        <is>
          <t>00018934</t>
        </is>
      </c>
      <c r="B599" s="5" t="inlineStr">
        <is>
          <t>[00018934] OTOSAN NASAL SPRAY BABY 30 ML</t>
        </is>
      </c>
      <c r="C599" s="5" t="inlineStr">
        <is>
          <t>دواء</t>
        </is>
      </c>
      <c r="D599" s="13" t="inlineStr">
        <is>
          <t>8016887000325</t>
        </is>
      </c>
      <c r="E599" s="14">
        <f>L599-K599</f>
        <v/>
      </c>
      <c r="F599" s="14" t="n">
        <v>0</v>
      </c>
      <c r="G599" s="14">
        <f>F599-E599</f>
        <v/>
      </c>
      <c r="H599" s="7" t="n">
        <v>49.5</v>
      </c>
      <c r="I599" s="7">
        <f>G599*H599</f>
        <v/>
      </c>
      <c r="J599" s="16" t="inlineStr">
        <is>
          <t>لم يُجرد</t>
        </is>
      </c>
      <c r="K599" s="14" t="n">
        <v>0</v>
      </c>
      <c r="L599" s="14" t="n">
        <v>6</v>
      </c>
      <c r="M599" s="5" t="inlineStr"/>
      <c r="N599" s="5" t="inlineStr"/>
    </row>
    <row r="600">
      <c r="A600" s="13" t="inlineStr">
        <is>
          <t>00018935</t>
        </is>
      </c>
      <c r="B600" s="5" t="inlineStr">
        <is>
          <t>[00018935] OTOSAN NASAL SPRAY FORTE 30 ML</t>
        </is>
      </c>
      <c r="C600" s="5" t="inlineStr">
        <is>
          <t>دواء</t>
        </is>
      </c>
      <c r="D600" s="13" t="inlineStr"/>
      <c r="E600" s="14">
        <f>L600-K600</f>
        <v/>
      </c>
      <c r="F600" s="14" t="n">
        <v>0</v>
      </c>
      <c r="G600" s="14">
        <f>F600-E600</f>
        <v/>
      </c>
      <c r="H600" s="7" t="n">
        <v>49.5</v>
      </c>
      <c r="I600" s="7">
        <f>G600*H600</f>
        <v/>
      </c>
      <c r="J600" s="16" t="inlineStr">
        <is>
          <t>لم يُجرد</t>
        </is>
      </c>
      <c r="K600" s="14" t="n">
        <v>0</v>
      </c>
      <c r="L600" s="14" t="n">
        <v>6</v>
      </c>
      <c r="M600" s="5" t="inlineStr"/>
      <c r="N600" s="5" t="inlineStr"/>
    </row>
    <row r="601">
      <c r="A601" s="13" t="inlineStr">
        <is>
          <t>0004310</t>
        </is>
      </c>
      <c r="B601" s="5" t="inlineStr">
        <is>
          <t>[0004310] CECLOR 500 MG 15 CAPS</t>
        </is>
      </c>
      <c r="C601" s="5" t="inlineStr">
        <is>
          <t>دواء</t>
        </is>
      </c>
      <c r="D601" s="13" t="inlineStr">
        <is>
          <t>06281086001325</t>
        </is>
      </c>
      <c r="E601" s="14">
        <f>L601-K601</f>
        <v/>
      </c>
      <c r="F601" s="14" t="n">
        <v>0</v>
      </c>
      <c r="G601" s="14">
        <f>F601-E601</f>
        <v/>
      </c>
      <c r="H601" s="7" t="n">
        <v>59.4</v>
      </c>
      <c r="I601" s="7">
        <f>G601*H601</f>
        <v/>
      </c>
      <c r="J601" s="16" t="inlineStr">
        <is>
          <t>لم يُجرد</t>
        </is>
      </c>
      <c r="K601" s="14" t="n">
        <v>0</v>
      </c>
      <c r="L601" s="14" t="n">
        <v>3</v>
      </c>
      <c r="M601" s="5" t="inlineStr"/>
      <c r="N601" s="5" t="inlineStr"/>
    </row>
    <row r="602">
      <c r="A602" s="13" t="inlineStr">
        <is>
          <t>00038883</t>
        </is>
      </c>
      <c r="B602" s="5" t="inlineStr">
        <is>
          <t>[00038883] RIDON 1MG 100ML SYRUP WASFA</t>
        </is>
      </c>
      <c r="C602" s="5" t="inlineStr">
        <is>
          <t>دواء</t>
        </is>
      </c>
      <c r="D602" s="13" t="inlineStr"/>
      <c r="E602" s="14">
        <f>L602-K602</f>
        <v/>
      </c>
      <c r="F602" s="14" t="n">
        <v>0</v>
      </c>
      <c r="G602" s="14">
        <f>F602-E602</f>
        <v/>
      </c>
      <c r="H602" s="7" t="n">
        <v>170.75</v>
      </c>
      <c r="I602" s="7">
        <f>G602*H602</f>
        <v/>
      </c>
      <c r="J602" s="16" t="inlineStr">
        <is>
          <t>لم يُجرد</t>
        </is>
      </c>
      <c r="K602" s="14" t="n">
        <v>0</v>
      </c>
      <c r="L602" s="14" t="n">
        <v>1</v>
      </c>
      <c r="M602" s="5" t="inlineStr"/>
      <c r="N602" s="5" t="inlineStr"/>
    </row>
    <row r="603">
      <c r="A603" s="13" t="inlineStr">
        <is>
          <t>00026518</t>
        </is>
      </c>
      <c r="B603" s="5" t="inlineStr">
        <is>
          <t>[00026518] VICHY DERCOS VITAL ENERGIZZANTE 200ML 8094</t>
        </is>
      </c>
      <c r="C603" s="5" t="inlineStr">
        <is>
          <t>دواء</t>
        </is>
      </c>
      <c r="D603" s="13" t="inlineStr">
        <is>
          <t>3337875678094</t>
        </is>
      </c>
      <c r="E603" s="14">
        <f>L603-K603</f>
        <v/>
      </c>
      <c r="F603" s="14" t="n">
        <v>0</v>
      </c>
      <c r="G603" s="14">
        <f>F603-E603</f>
        <v/>
      </c>
      <c r="H603" s="7" t="n">
        <v>65</v>
      </c>
      <c r="I603" s="7">
        <f>G603*H603</f>
        <v/>
      </c>
      <c r="J603" s="16" t="inlineStr">
        <is>
          <t>لم يُجرد</t>
        </is>
      </c>
      <c r="K603" s="14" t="n">
        <v>0</v>
      </c>
      <c r="L603" s="14" t="n">
        <v>3</v>
      </c>
      <c r="M603" s="5" t="inlineStr"/>
      <c r="N603" s="5" t="inlineStr"/>
    </row>
    <row r="604">
      <c r="A604" s="13" t="inlineStr">
        <is>
          <t>0005560</t>
        </is>
      </c>
      <c r="B604" s="5" t="inlineStr">
        <is>
          <t>[0005560] MOVICOL SACHETS 20 SACH*****</t>
        </is>
      </c>
      <c r="C604" s="5" t="inlineStr">
        <is>
          <t>دواء</t>
        </is>
      </c>
      <c r="D604" s="13" t="inlineStr">
        <is>
          <t>07640153086129</t>
        </is>
      </c>
      <c r="E604" s="14">
        <f>L604-K604</f>
        <v/>
      </c>
      <c r="F604" s="14" t="n">
        <v>0</v>
      </c>
      <c r="G604" s="14">
        <f>F604-E604</f>
        <v/>
      </c>
      <c r="H604" s="7" t="n">
        <v>35.3</v>
      </c>
      <c r="I604" s="7">
        <f>G604*H604</f>
        <v/>
      </c>
      <c r="J604" s="16" t="inlineStr">
        <is>
          <t>لم يُجرد</t>
        </is>
      </c>
      <c r="K604" s="14" t="n">
        <v>0</v>
      </c>
      <c r="L604" s="14" t="n">
        <v>5</v>
      </c>
      <c r="M604" s="5" t="inlineStr"/>
      <c r="N604" s="5" t="inlineStr"/>
    </row>
    <row r="605">
      <c r="A605" s="13" t="inlineStr">
        <is>
          <t>0004226</t>
        </is>
      </c>
      <c r="B605" s="5" t="inlineStr">
        <is>
          <t>[0004226] CIFLOX 500MG 10TAB</t>
        </is>
      </c>
      <c r="C605" s="5" t="inlineStr">
        <is>
          <t>دواء</t>
        </is>
      </c>
      <c r="D605" s="13" t="inlineStr">
        <is>
          <t>06285085001744</t>
        </is>
      </c>
      <c r="E605" s="14">
        <f>L605-K605</f>
        <v/>
      </c>
      <c r="F605" s="14" t="n">
        <v>0</v>
      </c>
      <c r="G605" s="14">
        <f>F605-E605</f>
        <v/>
      </c>
      <c r="H605" s="7" t="n">
        <v>37.45</v>
      </c>
      <c r="I605" s="7">
        <f>G605*H605</f>
        <v/>
      </c>
      <c r="J605" s="16" t="inlineStr">
        <is>
          <t>لم يُجرد</t>
        </is>
      </c>
      <c r="K605" s="14" t="n">
        <v>0</v>
      </c>
      <c r="L605" s="14" t="n">
        <v>5</v>
      </c>
      <c r="M605" s="5" t="inlineStr"/>
      <c r="N605" s="5" t="inlineStr"/>
    </row>
    <row r="606">
      <c r="A606" s="13" t="inlineStr">
        <is>
          <t>00045668</t>
        </is>
      </c>
      <c r="B606" s="5" t="inlineStr">
        <is>
          <t>[00045668] HALEON VOLTAREN EMULGEL 2%100G</t>
        </is>
      </c>
      <c r="C606" s="5" t="inlineStr">
        <is>
          <t>دواء</t>
        </is>
      </c>
      <c r="D606" s="13" t="inlineStr"/>
      <c r="E606" s="14">
        <f>L606-K606</f>
        <v/>
      </c>
      <c r="F606" s="14" t="n">
        <v>0</v>
      </c>
      <c r="G606" s="14">
        <f>F606-E606</f>
        <v/>
      </c>
      <c r="H606" s="7" t="n">
        <v>58.5</v>
      </c>
      <c r="I606" s="7">
        <f>G606*H606</f>
        <v/>
      </c>
      <c r="J606" s="16" t="inlineStr">
        <is>
          <t>لم يُجرد</t>
        </is>
      </c>
      <c r="K606" s="14" t="n">
        <v>0</v>
      </c>
      <c r="L606" s="14" t="n">
        <v>3</v>
      </c>
      <c r="M606" s="5" t="inlineStr"/>
      <c r="N606" s="5" t="inlineStr"/>
    </row>
    <row r="607">
      <c r="A607" s="13" t="inlineStr">
        <is>
          <t>00026770</t>
        </is>
      </c>
      <c r="B607" s="5" t="inlineStr">
        <is>
          <t>[00026770] MOVA CID 400MG 60 CAP 8159</t>
        </is>
      </c>
      <c r="C607" s="5" t="inlineStr">
        <is>
          <t>دواء</t>
        </is>
      </c>
      <c r="D607" s="13" t="inlineStr">
        <is>
          <t>795044248159</t>
        </is>
      </c>
      <c r="E607" s="14">
        <f>L607-K607</f>
        <v/>
      </c>
      <c r="F607" s="14" t="n">
        <v>0</v>
      </c>
      <c r="G607" s="14">
        <f>F607-E607</f>
        <v/>
      </c>
      <c r="H607" s="7" t="n">
        <v>170</v>
      </c>
      <c r="I607" s="7">
        <f>G607*H607</f>
        <v/>
      </c>
      <c r="J607" s="16" t="inlineStr">
        <is>
          <t>لم يُجرد</t>
        </is>
      </c>
      <c r="K607" s="14" t="n">
        <v>0</v>
      </c>
      <c r="L607" s="14" t="n">
        <v>2</v>
      </c>
      <c r="M607" s="5" t="inlineStr"/>
      <c r="N607" s="5" t="inlineStr"/>
    </row>
    <row r="608">
      <c r="A608" s="13" t="inlineStr">
        <is>
          <t>0004671</t>
        </is>
      </c>
      <c r="B608" s="5" t="inlineStr">
        <is>
          <t>[0004671] VIAGRA 50 MG 4 TAB- WASFATI</t>
        </is>
      </c>
      <c r="C608" s="5" t="inlineStr">
        <is>
          <t>دواء</t>
        </is>
      </c>
      <c r="D608" s="13" t="inlineStr">
        <is>
          <t>05415062000939;a5386</t>
        </is>
      </c>
      <c r="E608" s="14">
        <f>L608-K608</f>
        <v/>
      </c>
      <c r="F608" s="14" t="n">
        <v>0</v>
      </c>
      <c r="G608" s="14">
        <f>F608-E608</f>
        <v/>
      </c>
      <c r="H608" s="7" t="n">
        <v>70.09999999999999</v>
      </c>
      <c r="I608" s="7">
        <f>G608*H608</f>
        <v/>
      </c>
      <c r="J608" s="16" t="inlineStr">
        <is>
          <t>لم يُجرد</t>
        </is>
      </c>
      <c r="K608" s="14" t="n">
        <v>0</v>
      </c>
      <c r="L608" s="14" t="n">
        <v>2.5</v>
      </c>
      <c r="M608" s="5" t="inlineStr"/>
      <c r="N608" s="5" t="inlineStr"/>
    </row>
    <row r="609">
      <c r="A609" s="13" t="inlineStr">
        <is>
          <t>0004034</t>
        </is>
      </c>
      <c r="B609" s="5" t="inlineStr">
        <is>
          <t>[0004034] DULCOLAX 5MG 40TAB</t>
        </is>
      </c>
      <c r="C609" s="5" t="inlineStr">
        <is>
          <t>دواء</t>
        </is>
      </c>
      <c r="D609" s="13" t="inlineStr">
        <is>
          <t>03582910090328</t>
        </is>
      </c>
      <c r="E609" s="14">
        <f>L609-K609</f>
        <v/>
      </c>
      <c r="F609" s="14" t="n">
        <v>0</v>
      </c>
      <c r="G609" s="14">
        <f>F609-E609</f>
        <v/>
      </c>
      <c r="H609" s="7" t="n">
        <v>14.55</v>
      </c>
      <c r="I609" s="7">
        <f>G609*H609</f>
        <v/>
      </c>
      <c r="J609" s="16" t="inlineStr">
        <is>
          <t>لم يُجرد</t>
        </is>
      </c>
      <c r="K609" s="14" t="n">
        <v>0</v>
      </c>
      <c r="L609" s="14" t="n">
        <v>12</v>
      </c>
      <c r="M609" s="5" t="inlineStr"/>
      <c r="N609" s="5" t="inlineStr"/>
    </row>
    <row r="610">
      <c r="A610" s="13" t="inlineStr">
        <is>
          <t>0004391</t>
        </is>
      </c>
      <c r="B610" s="5" t="inlineStr">
        <is>
          <t>[0004391] ACRETIN CREAM 0.25% WASFA</t>
        </is>
      </c>
      <c r="C610" s="5" t="inlineStr">
        <is>
          <t>دواء</t>
        </is>
      </c>
      <c r="D610" s="13" t="inlineStr">
        <is>
          <t>06285128000062</t>
        </is>
      </c>
      <c r="E610" s="14">
        <f>L610-K610</f>
        <v/>
      </c>
      <c r="F610" s="14" t="n">
        <v>0</v>
      </c>
      <c r="G610" s="14">
        <f>F610-E610</f>
        <v/>
      </c>
      <c r="H610" s="7" t="n">
        <v>18.85</v>
      </c>
      <c r="I610" s="7">
        <f>G610*H610</f>
        <v/>
      </c>
      <c r="J610" s="16" t="inlineStr">
        <is>
          <t>لم يُجرد</t>
        </is>
      </c>
      <c r="K610" s="14" t="n">
        <v>0</v>
      </c>
      <c r="L610" s="14" t="n">
        <v>12</v>
      </c>
      <c r="M610" s="5" t="inlineStr"/>
      <c r="N610" s="5" t="inlineStr"/>
    </row>
    <row r="611">
      <c r="A611" s="13" t="inlineStr">
        <is>
          <t>0003804</t>
        </is>
      </c>
      <c r="B611" s="5" t="inlineStr">
        <is>
          <t>[0003804] AMLOR 5 MG 30 CAP*****</t>
        </is>
      </c>
      <c r="C611" s="5" t="inlineStr">
        <is>
          <t>دواء</t>
        </is>
      </c>
      <c r="D611" s="13" t="inlineStr"/>
      <c r="E611" s="14">
        <f>L611-K611</f>
        <v/>
      </c>
      <c r="F611" s="14" t="n">
        <v>0</v>
      </c>
      <c r="G611" s="14">
        <f>F611-E611</f>
        <v/>
      </c>
      <c r="H611" s="7" t="n">
        <v>60.65</v>
      </c>
      <c r="I611" s="7">
        <f>G611*H611</f>
        <v/>
      </c>
      <c r="J611" s="16" t="inlineStr">
        <is>
          <t>لم يُجرد</t>
        </is>
      </c>
      <c r="K611" s="14" t="n">
        <v>0</v>
      </c>
      <c r="L611" s="14" t="n">
        <v>3</v>
      </c>
      <c r="M611" s="5" t="inlineStr"/>
      <c r="N611" s="5" t="inlineStr"/>
    </row>
    <row r="612">
      <c r="A612" s="13" t="inlineStr">
        <is>
          <t>0003313</t>
        </is>
      </c>
      <c r="B612" s="5" t="inlineStr">
        <is>
          <t>[0003313] LANFAST 30MG 15CAP</t>
        </is>
      </c>
      <c r="C612" s="5" t="inlineStr">
        <is>
          <t>دواء</t>
        </is>
      </c>
      <c r="D612" s="13" t="inlineStr">
        <is>
          <t>01062911000808231719</t>
        </is>
      </c>
      <c r="E612" s="14">
        <f>L612-K612</f>
        <v/>
      </c>
      <c r="F612" s="14" t="n">
        <v>0</v>
      </c>
      <c r="G612" s="14">
        <f>F612-E612</f>
        <v/>
      </c>
      <c r="H612" s="7" t="n">
        <v>58.1</v>
      </c>
      <c r="I612" s="7">
        <f>G612*H612</f>
        <v/>
      </c>
      <c r="J612" s="16" t="inlineStr">
        <is>
          <t>لم يُجرد</t>
        </is>
      </c>
      <c r="K612" s="14" t="n">
        <v>0</v>
      </c>
      <c r="L612" s="14" t="n">
        <v>3</v>
      </c>
      <c r="M612" s="5" t="inlineStr"/>
      <c r="N612" s="5" t="inlineStr"/>
    </row>
    <row r="613">
      <c r="A613" s="13" t="inlineStr">
        <is>
          <t>0003125</t>
        </is>
      </c>
      <c r="B613" s="5" t="inlineStr">
        <is>
          <t>[0003125] TOVAST 20MG 30TAB</t>
        </is>
      </c>
      <c r="C613" s="5" t="inlineStr">
        <is>
          <t>دواء</t>
        </is>
      </c>
      <c r="D613" s="13" t="inlineStr">
        <is>
          <t>6281086002223</t>
        </is>
      </c>
      <c r="E613" s="14">
        <f>L613-K613</f>
        <v/>
      </c>
      <c r="F613" s="14" t="n">
        <v>0</v>
      </c>
      <c r="G613" s="14">
        <f>F613-E613</f>
        <v/>
      </c>
      <c r="H613" s="7" t="n">
        <v>43.45</v>
      </c>
      <c r="I613" s="7">
        <f>G613*H613</f>
        <v/>
      </c>
      <c r="J613" s="16" t="inlineStr">
        <is>
          <t>لم يُجرد</t>
        </is>
      </c>
      <c r="K613" s="14" t="n">
        <v>0</v>
      </c>
      <c r="L613" s="14" t="n">
        <v>4</v>
      </c>
      <c r="M613" s="5" t="inlineStr"/>
      <c r="N613" s="5" t="inlineStr"/>
    </row>
    <row r="614">
      <c r="A614" s="13" t="inlineStr">
        <is>
          <t>0003132</t>
        </is>
      </c>
      <c r="B614" s="5" t="inlineStr">
        <is>
          <t>[0003132] TOVAST 10MG 30TAB</t>
        </is>
      </c>
      <c r="C614" s="5" t="inlineStr">
        <is>
          <t>دواء</t>
        </is>
      </c>
      <c r="D614" s="13" t="inlineStr">
        <is>
          <t>06281086012215</t>
        </is>
      </c>
      <c r="E614" s="14">
        <f>L614-K614</f>
        <v/>
      </c>
      <c r="F614" s="14" t="n">
        <v>0</v>
      </c>
      <c r="G614" s="14">
        <f>F614-E614</f>
        <v/>
      </c>
      <c r="H614" s="7" t="n">
        <v>43.45</v>
      </c>
      <c r="I614" s="7">
        <f>G614*H614</f>
        <v/>
      </c>
      <c r="J614" s="16" t="inlineStr">
        <is>
          <t>لم يُجرد</t>
        </is>
      </c>
      <c r="K614" s="14" t="n">
        <v>0</v>
      </c>
      <c r="L614" s="14" t="n">
        <v>4</v>
      </c>
      <c r="M614" s="5" t="inlineStr"/>
      <c r="N614" s="5" t="inlineStr"/>
    </row>
    <row r="615">
      <c r="A615" s="13" t="inlineStr">
        <is>
          <t>0000068858</t>
        </is>
      </c>
      <c r="B615" s="5" t="inlineStr">
        <is>
          <t>[0000068858] GLUTY SHOTS 25ML1176</t>
        </is>
      </c>
      <c r="C615" s="5" t="inlineStr">
        <is>
          <t>دواء</t>
        </is>
      </c>
      <c r="D615" s="13" t="inlineStr">
        <is>
          <t>765464631176</t>
        </is>
      </c>
      <c r="E615" s="14">
        <f>L615-K615</f>
        <v/>
      </c>
      <c r="F615" s="14" t="n">
        <v>0</v>
      </c>
      <c r="G615" s="14">
        <f>F615-E615</f>
        <v/>
      </c>
      <c r="H615" s="7" t="n">
        <v>30</v>
      </c>
      <c r="I615" s="7">
        <f>G615*H615</f>
        <v/>
      </c>
      <c r="J615" s="16" t="inlineStr">
        <is>
          <t>لم يُجرد</t>
        </is>
      </c>
      <c r="K615" s="14" t="n">
        <v>0</v>
      </c>
      <c r="L615" s="14" t="n">
        <v>12</v>
      </c>
      <c r="M615" s="5" t="inlineStr"/>
      <c r="N615" s="5" t="inlineStr"/>
    </row>
    <row r="616">
      <c r="A616" s="13" t="inlineStr">
        <is>
          <t>00032969</t>
        </is>
      </c>
      <c r="B616" s="5" t="inlineStr">
        <is>
          <t>[00032969] HYALUMED OPTH SOLUTION 3784</t>
        </is>
      </c>
      <c r="C616" s="5" t="inlineStr">
        <is>
          <t>دواء</t>
        </is>
      </c>
      <c r="D616" s="13" t="inlineStr">
        <is>
          <t>602024193784</t>
        </is>
      </c>
      <c r="E616" s="14">
        <f>L616-K616</f>
        <v/>
      </c>
      <c r="F616" s="14" t="n">
        <v>0</v>
      </c>
      <c r="G616" s="14">
        <f>F616-E616</f>
        <v/>
      </c>
      <c r="H616" s="7" t="n">
        <v>57.6</v>
      </c>
      <c r="I616" s="7">
        <f>G616*H616</f>
        <v/>
      </c>
      <c r="J616" s="16" t="inlineStr">
        <is>
          <t>لم يُجرد</t>
        </is>
      </c>
      <c r="K616" s="14" t="n">
        <v>0</v>
      </c>
      <c r="L616" s="14" t="n">
        <v>3</v>
      </c>
      <c r="M616" s="5" t="inlineStr"/>
      <c r="N616" s="5" t="inlineStr"/>
    </row>
    <row r="617">
      <c r="A617" s="13" t="inlineStr">
        <is>
          <t>00046457</t>
        </is>
      </c>
      <c r="B617" s="5" t="inlineStr">
        <is>
          <t>[00046457] VITA NOOR C EXTRA1000MG EFFE TAB</t>
        </is>
      </c>
      <c r="C617" s="5" t="inlineStr">
        <is>
          <t>دواء</t>
        </is>
      </c>
      <c r="D617" s="13" t="inlineStr">
        <is>
          <t>795044248531</t>
        </is>
      </c>
      <c r="E617" s="14">
        <f>L617-K617</f>
        <v/>
      </c>
      <c r="F617" s="14" t="n">
        <v>0</v>
      </c>
      <c r="G617" s="14">
        <f>F617-E617</f>
        <v/>
      </c>
      <c r="H617" s="7" t="n">
        <v>35</v>
      </c>
      <c r="I617" s="7">
        <f>G617*H617</f>
        <v/>
      </c>
      <c r="J617" s="16" t="inlineStr">
        <is>
          <t>لم يُجرد</t>
        </is>
      </c>
      <c r="K617" s="14" t="n">
        <v>0</v>
      </c>
      <c r="L617" s="14" t="n">
        <v>16</v>
      </c>
      <c r="M617" s="5" t="inlineStr"/>
      <c r="N617" s="5" t="inlineStr"/>
    </row>
    <row r="618">
      <c r="A618" s="13" t="inlineStr">
        <is>
          <t>0003820</t>
        </is>
      </c>
      <c r="B618" s="5" t="inlineStr">
        <is>
          <t>[0003820] FAVERIN 100MG 30TAB TMR</t>
        </is>
      </c>
      <c r="C618" s="5" t="inlineStr">
        <is>
          <t>دواء</t>
        </is>
      </c>
      <c r="D618" s="13" t="inlineStr"/>
      <c r="E618" s="14">
        <f>L618-K618</f>
        <v/>
      </c>
      <c r="F618" s="14" t="n">
        <v>0</v>
      </c>
      <c r="G618" s="14">
        <f>F618-E618</f>
        <v/>
      </c>
      <c r="H618" s="7" t="n">
        <v>82.84999999999999</v>
      </c>
      <c r="I618" s="7">
        <f>G618*H618</f>
        <v/>
      </c>
      <c r="J618" s="16" t="inlineStr">
        <is>
          <t>لم يُجرد</t>
        </is>
      </c>
      <c r="K618" s="14" t="n">
        <v>0</v>
      </c>
      <c r="L618" s="14" t="n">
        <v>2</v>
      </c>
      <c r="M618" s="5" t="inlineStr"/>
      <c r="N618" s="5" t="inlineStr"/>
    </row>
    <row r="619">
      <c r="A619" s="13" t="inlineStr">
        <is>
          <t>0005831</t>
        </is>
      </c>
      <c r="B619" s="5" t="inlineStr">
        <is>
          <t>[0005831] AUGMENTIN 1GM 14TAB</t>
        </is>
      </c>
      <c r="C619" s="5" t="inlineStr">
        <is>
          <t>دواء</t>
        </is>
      </c>
      <c r="D619" s="13" t="inlineStr">
        <is>
          <t>01062850970000181720</t>
        </is>
      </c>
      <c r="E619" s="14">
        <f>L619-K619</f>
        <v/>
      </c>
      <c r="F619" s="14" t="n">
        <v>0</v>
      </c>
      <c r="G619" s="14">
        <f>F619-E619</f>
        <v/>
      </c>
      <c r="H619" s="7" t="n">
        <v>78.3</v>
      </c>
      <c r="I619" s="7">
        <f>G619*H619</f>
        <v/>
      </c>
      <c r="J619" s="16" t="inlineStr">
        <is>
          <t>لم يُجرد</t>
        </is>
      </c>
      <c r="K619" s="14" t="n">
        <v>0</v>
      </c>
      <c r="L619" s="14" t="n">
        <v>3</v>
      </c>
      <c r="M619" s="5" t="inlineStr"/>
      <c r="N619" s="5" t="inlineStr"/>
    </row>
    <row r="620">
      <c r="A620" s="13" t="inlineStr">
        <is>
          <t>00012860</t>
        </is>
      </c>
      <c r="B620" s="5" t="inlineStr">
        <is>
          <t>[00012860] FUSIBACT OINT 2% 30GM WASFA</t>
        </is>
      </c>
      <c r="C620" s="5" t="inlineStr">
        <is>
          <t>دواء</t>
        </is>
      </c>
      <c r="D620" s="13" t="inlineStr">
        <is>
          <t>06285128002431</t>
        </is>
      </c>
      <c r="E620" s="14">
        <f>L620-K620</f>
        <v/>
      </c>
      <c r="F620" s="14" t="n">
        <v>0</v>
      </c>
      <c r="G620" s="14">
        <f>F620-E620</f>
        <v/>
      </c>
      <c r="H620" s="7" t="n">
        <v>16.3</v>
      </c>
      <c r="I620" s="7">
        <f>G620*H620</f>
        <v/>
      </c>
      <c r="J620" s="16" t="inlineStr">
        <is>
          <t>لم يُجرد</t>
        </is>
      </c>
      <c r="K620" s="14" t="n">
        <v>0</v>
      </c>
      <c r="L620" s="14" t="n">
        <v>12</v>
      </c>
      <c r="M620" s="5" t="inlineStr"/>
      <c r="N620" s="5" t="inlineStr"/>
    </row>
    <row r="621">
      <c r="A621" s="13" t="inlineStr">
        <is>
          <t>0005650</t>
        </is>
      </c>
      <c r="B621" s="5" t="inlineStr">
        <is>
          <t>[0005650] AVALON AVOQUINE CREAM 1.9% 50ML</t>
        </is>
      </c>
      <c r="C621" s="5" t="inlineStr">
        <is>
          <t>دواء</t>
        </is>
      </c>
      <c r="D621" s="13" t="inlineStr">
        <is>
          <t>06285095000119</t>
        </is>
      </c>
      <c r="E621" s="14">
        <f>L621-K621</f>
        <v/>
      </c>
      <c r="F621" s="14" t="n">
        <v>0</v>
      </c>
      <c r="G621" s="14">
        <f>F621-E621</f>
        <v/>
      </c>
      <c r="H621" s="7" t="n">
        <v>15.6</v>
      </c>
      <c r="I621" s="7">
        <f>G621*H621</f>
        <v/>
      </c>
      <c r="J621" s="16" t="inlineStr">
        <is>
          <t>لم يُجرد</t>
        </is>
      </c>
      <c r="K621" s="14" t="n">
        <v>0</v>
      </c>
      <c r="L621" s="14" t="n">
        <v>11</v>
      </c>
      <c r="M621" s="5" t="inlineStr"/>
      <c r="N621" s="5" t="inlineStr"/>
    </row>
    <row r="622">
      <c r="A622" s="13" t="inlineStr">
        <is>
          <t>0003156</t>
        </is>
      </c>
      <c r="B622" s="5" t="inlineStr">
        <is>
          <t>[0003156] PANTOVER 40MG 15TAB</t>
        </is>
      </c>
      <c r="C622" s="5" t="inlineStr">
        <is>
          <t>دواء</t>
        </is>
      </c>
      <c r="D622" s="13" t="inlineStr">
        <is>
          <t>06251144101212</t>
        </is>
      </c>
      <c r="E622" s="14">
        <f>L622-K622</f>
        <v/>
      </c>
      <c r="F622" s="14" t="n">
        <v>0</v>
      </c>
      <c r="G622" s="14">
        <f>F622-E622</f>
        <v/>
      </c>
      <c r="H622" s="7" t="n">
        <v>28.5</v>
      </c>
      <c r="I622" s="7">
        <f>G622*H622</f>
        <v/>
      </c>
      <c r="J622" s="16" t="inlineStr">
        <is>
          <t>لم يُجرد</t>
        </is>
      </c>
      <c r="K622" s="14" t="n">
        <v>0</v>
      </c>
      <c r="L622" s="14" t="n">
        <v>6</v>
      </c>
      <c r="M622" s="5" t="inlineStr"/>
      <c r="N622" s="5" t="inlineStr"/>
    </row>
    <row r="623">
      <c r="A623" s="13" t="inlineStr">
        <is>
          <t>00026693</t>
        </is>
      </c>
      <c r="B623" s="5" t="inlineStr">
        <is>
          <t>[00026693] GLUTY 60 CHEW 7542</t>
        </is>
      </c>
      <c r="C623" s="5" t="inlineStr">
        <is>
          <t>دواء</t>
        </is>
      </c>
      <c r="D623" s="13" t="inlineStr">
        <is>
          <t>748515537542</t>
        </is>
      </c>
      <c r="E623" s="14">
        <f>L623-K623</f>
        <v/>
      </c>
      <c r="F623" s="14" t="n">
        <v>0</v>
      </c>
      <c r="G623" s="14">
        <f>F623-E623</f>
        <v/>
      </c>
      <c r="H623" s="7" t="n">
        <v>330</v>
      </c>
      <c r="I623" s="7">
        <f>G623*H623</f>
        <v/>
      </c>
      <c r="J623" s="16" t="inlineStr">
        <is>
          <t>لم يُجرد</t>
        </is>
      </c>
      <c r="K623" s="14" t="n">
        <v>0</v>
      </c>
      <c r="L623" s="14" t="n">
        <v>1</v>
      </c>
      <c r="M623" s="5" t="inlineStr"/>
      <c r="N623" s="5" t="inlineStr"/>
    </row>
    <row r="624">
      <c r="A624" s="13" t="inlineStr">
        <is>
          <t>0003924</t>
        </is>
      </c>
      <c r="B624" s="5" t="inlineStr">
        <is>
          <t>[0003924] DERMOVATE CREAM 25GM</t>
        </is>
      </c>
      <c r="C624" s="5" t="inlineStr">
        <is>
          <t>دواء</t>
        </is>
      </c>
      <c r="D624" s="13" t="inlineStr">
        <is>
          <t>01062850970002231719</t>
        </is>
      </c>
      <c r="E624" s="14">
        <f>L624-K624</f>
        <v/>
      </c>
      <c r="F624" s="14" t="n">
        <v>0</v>
      </c>
      <c r="G624" s="14">
        <f>F624-E624</f>
        <v/>
      </c>
      <c r="H624" s="7" t="n">
        <v>9.449999999999999</v>
      </c>
      <c r="I624" s="7">
        <f>G624*H624</f>
        <v/>
      </c>
      <c r="J624" s="16" t="inlineStr">
        <is>
          <t>لم يُجرد</t>
        </is>
      </c>
      <c r="K624" s="14" t="n">
        <v>0</v>
      </c>
      <c r="L624" s="14" t="n">
        <v>18</v>
      </c>
      <c r="M624" s="5" t="inlineStr"/>
      <c r="N624" s="5" t="inlineStr"/>
    </row>
    <row r="625">
      <c r="A625" s="13" t="inlineStr">
        <is>
          <t>0004079</t>
        </is>
      </c>
      <c r="B625" s="5" t="inlineStr">
        <is>
          <t>[0004079] CO DIOVAN 160/12.5MG 28 TAB TMR</t>
        </is>
      </c>
      <c r="C625" s="5" t="inlineStr">
        <is>
          <t>دواء</t>
        </is>
      </c>
      <c r="D625" s="13" t="inlineStr">
        <is>
          <t>07612791388842</t>
        </is>
      </c>
      <c r="E625" s="14">
        <f>L625-K625</f>
        <v/>
      </c>
      <c r="F625" s="14" t="n">
        <v>0</v>
      </c>
      <c r="G625" s="14">
        <f>F625-E625</f>
        <v/>
      </c>
      <c r="H625" s="7" t="n">
        <v>42.5</v>
      </c>
      <c r="I625" s="7">
        <f>G625*H625</f>
        <v/>
      </c>
      <c r="J625" s="16" t="inlineStr">
        <is>
          <t>لم يُجرد</t>
        </is>
      </c>
      <c r="K625" s="14" t="n">
        <v>0</v>
      </c>
      <c r="L625" s="14" t="n">
        <v>4</v>
      </c>
      <c r="M625" s="5" t="inlineStr"/>
      <c r="N625" s="5" t="inlineStr"/>
    </row>
    <row r="626">
      <c r="A626" s="13" t="inlineStr">
        <is>
          <t>00048814</t>
        </is>
      </c>
      <c r="B626" s="5" t="inlineStr">
        <is>
          <t>[00048814] PROFLORA COMPLETE 30 CAPS 6674</t>
        </is>
      </c>
      <c r="C626" s="5" t="inlineStr">
        <is>
          <t>دواء</t>
        </is>
      </c>
      <c r="D626" s="13" t="inlineStr">
        <is>
          <t>7763567226674</t>
        </is>
      </c>
      <c r="E626" s="14">
        <f>L626-K626</f>
        <v/>
      </c>
      <c r="F626" s="14" t="n">
        <v>0</v>
      </c>
      <c r="G626" s="14">
        <f>F626-E626</f>
        <v/>
      </c>
      <c r="H626" s="7" t="n">
        <v>185</v>
      </c>
      <c r="I626" s="7">
        <f>G626*H626</f>
        <v/>
      </c>
      <c r="J626" s="16" t="inlineStr">
        <is>
          <t>لم يُجرد</t>
        </is>
      </c>
      <c r="K626" s="14" t="n">
        <v>0</v>
      </c>
      <c r="L626" s="14" t="n">
        <v>1</v>
      </c>
      <c r="M626" s="5" t="inlineStr"/>
      <c r="N626" s="5" t="inlineStr"/>
    </row>
    <row r="627">
      <c r="A627" s="13" t="inlineStr">
        <is>
          <t>0003660</t>
        </is>
      </c>
      <c r="B627" s="5" t="inlineStr">
        <is>
          <t>[0003660] FLUCA EYE DROPS 5 ML</t>
        </is>
      </c>
      <c r="C627" s="5" t="inlineStr">
        <is>
          <t>دواء</t>
        </is>
      </c>
      <c r="D627" s="13" t="inlineStr">
        <is>
          <t>06285128000437</t>
        </is>
      </c>
      <c r="E627" s="14">
        <f>L627-K627</f>
        <v/>
      </c>
      <c r="F627" s="14" t="n">
        <v>0</v>
      </c>
      <c r="G627" s="14">
        <f>F627-E627</f>
        <v/>
      </c>
      <c r="H627" s="7" t="n">
        <v>23.95</v>
      </c>
      <c r="I627" s="7">
        <f>G627*H627</f>
        <v/>
      </c>
      <c r="J627" s="16" t="inlineStr">
        <is>
          <t>لم يُجرد</t>
        </is>
      </c>
      <c r="K627" s="14" t="n">
        <v>0</v>
      </c>
      <c r="L627" s="14" t="n">
        <v>7</v>
      </c>
      <c r="M627" s="5" t="inlineStr"/>
      <c r="N627" s="5" t="inlineStr"/>
    </row>
    <row r="628">
      <c r="A628" s="13" t="inlineStr">
        <is>
          <t>00044349</t>
        </is>
      </c>
      <c r="B628" s="5" t="inlineStr">
        <is>
          <t>[00044349] FEROSOM FORTE DROPS 2275</t>
        </is>
      </c>
      <c r="C628" s="5" t="inlineStr">
        <is>
          <t>دواء</t>
        </is>
      </c>
      <c r="D628" s="13" t="inlineStr">
        <is>
          <t>628055192275</t>
        </is>
      </c>
      <c r="E628" s="14">
        <f>L628-K628</f>
        <v/>
      </c>
      <c r="F628" s="14" t="n">
        <v>0</v>
      </c>
      <c r="G628" s="14">
        <f>F628-E628</f>
        <v/>
      </c>
      <c r="H628" s="7" t="n">
        <v>90</v>
      </c>
      <c r="I628" s="7">
        <f>G628*H628</f>
        <v/>
      </c>
      <c r="J628" s="16" t="inlineStr">
        <is>
          <t>لم يُجرد</t>
        </is>
      </c>
      <c r="K628" s="14" t="n">
        <v>0</v>
      </c>
      <c r="L628" s="14" t="n">
        <v>2</v>
      </c>
      <c r="M628" s="5" t="inlineStr"/>
      <c r="N628" s="5" t="inlineStr"/>
    </row>
    <row r="629">
      <c r="A629" s="13" t="inlineStr">
        <is>
          <t>00024247</t>
        </is>
      </c>
      <c r="B629" s="5" t="inlineStr">
        <is>
          <t>[00024247] OSELTA 75MG 10 CAP</t>
        </is>
      </c>
      <c r="C629" s="5" t="inlineStr">
        <is>
          <t>دواء</t>
        </is>
      </c>
      <c r="D629" s="13" t="inlineStr"/>
      <c r="E629" s="14">
        <f>L629-K629</f>
        <v/>
      </c>
      <c r="F629" s="14" t="n">
        <v>0</v>
      </c>
      <c r="G629" s="14">
        <f>F629-E629</f>
        <v/>
      </c>
      <c r="H629" s="7" t="n">
        <v>79.84999999999999</v>
      </c>
      <c r="I629" s="7">
        <f>G629*H629</f>
        <v/>
      </c>
      <c r="J629" s="16" t="inlineStr">
        <is>
          <t>لم يُجرد</t>
        </is>
      </c>
      <c r="K629" s="14" t="n">
        <v>0</v>
      </c>
      <c r="L629" s="14" t="n">
        <v>2</v>
      </c>
      <c r="M629" s="5" t="inlineStr"/>
      <c r="N629" s="5" t="inlineStr"/>
    </row>
    <row r="630">
      <c r="A630" s="13" t="inlineStr">
        <is>
          <t>00028415</t>
        </is>
      </c>
      <c r="B630" s="5" t="inlineStr">
        <is>
          <t>[00028415] GINKOSTEN 30 CHEWABLE TAP NHS</t>
        </is>
      </c>
      <c r="C630" s="5" t="inlineStr">
        <is>
          <t>دواء</t>
        </is>
      </c>
      <c r="D630" s="13" t="inlineStr">
        <is>
          <t>6286127000329</t>
        </is>
      </c>
      <c r="E630" s="14">
        <f>L630-K630</f>
        <v/>
      </c>
      <c r="F630" s="14" t="n">
        <v>0</v>
      </c>
      <c r="G630" s="14">
        <f>F630-E630</f>
        <v/>
      </c>
      <c r="H630" s="7" t="n">
        <v>130</v>
      </c>
      <c r="I630" s="7">
        <f>G630*H630</f>
        <v/>
      </c>
      <c r="J630" s="16" t="inlineStr">
        <is>
          <t>لم يُجرد</t>
        </is>
      </c>
      <c r="K630" s="14" t="n">
        <v>0</v>
      </c>
      <c r="L630" s="14" t="n">
        <v>2</v>
      </c>
      <c r="M630" s="5" t="inlineStr"/>
      <c r="N630" s="5" t="inlineStr"/>
    </row>
    <row r="631">
      <c r="A631" s="13" t="inlineStr">
        <is>
          <t>00048496</t>
        </is>
      </c>
      <c r="B631" s="5" t="inlineStr">
        <is>
          <t>[00048496] MOTHERNEST GLUCOSAMINE 60 TAB 9346</t>
        </is>
      </c>
      <c r="C631" s="5" t="inlineStr">
        <is>
          <t>دواء</t>
        </is>
      </c>
      <c r="D631" s="13" t="inlineStr">
        <is>
          <t>9327155009346</t>
        </is>
      </c>
      <c r="E631" s="14">
        <f>L631-K631</f>
        <v/>
      </c>
      <c r="F631" s="14" t="n">
        <v>0</v>
      </c>
      <c r="G631" s="14">
        <f>F631-E631</f>
        <v/>
      </c>
      <c r="H631" s="7" t="n">
        <v>138.27</v>
      </c>
      <c r="I631" s="7">
        <f>G631*H631</f>
        <v/>
      </c>
      <c r="J631" s="16" t="inlineStr">
        <is>
          <t>لم يُجرد</t>
        </is>
      </c>
      <c r="K631" s="14" t="n">
        <v>0</v>
      </c>
      <c r="L631" s="14" t="n">
        <v>2</v>
      </c>
      <c r="M631" s="5" t="inlineStr"/>
      <c r="N631" s="5" t="inlineStr"/>
    </row>
    <row r="632">
      <c r="A632" s="13" t="inlineStr">
        <is>
          <t>00012832</t>
        </is>
      </c>
      <c r="B632" s="5" t="inlineStr">
        <is>
          <t>[00012832] JARDIANCE 10 MG****</t>
        </is>
      </c>
      <c r="C632" s="5" t="inlineStr">
        <is>
          <t>دواء</t>
        </is>
      </c>
      <c r="D632" s="13" t="inlineStr">
        <is>
          <t>01062850790010712110</t>
        </is>
      </c>
      <c r="E632" s="14">
        <f>L632-K632</f>
        <v/>
      </c>
      <c r="F632" s="14" t="n">
        <v>0</v>
      </c>
      <c r="G632" s="14">
        <f>F632-E632</f>
        <v/>
      </c>
      <c r="H632" s="7" t="n">
        <v>159</v>
      </c>
      <c r="I632" s="7">
        <f>G632*H632</f>
        <v/>
      </c>
      <c r="J632" s="16" t="inlineStr">
        <is>
          <t>لم يُجرد</t>
        </is>
      </c>
      <c r="K632" s="14" t="n">
        <v>0</v>
      </c>
      <c r="L632" s="14" t="n">
        <v>1</v>
      </c>
      <c r="M632" s="5" t="inlineStr"/>
      <c r="N632" s="5" t="inlineStr"/>
    </row>
    <row r="633">
      <c r="A633" s="13" t="inlineStr">
        <is>
          <t>0004299</t>
        </is>
      </c>
      <c r="B633" s="5" t="inlineStr">
        <is>
          <t>[0004299] CENTRUM SILVER 100 TAB 74119</t>
        </is>
      </c>
      <c r="C633" s="5" t="inlineStr">
        <is>
          <t>دواء</t>
        </is>
      </c>
      <c r="D633" s="13" t="inlineStr"/>
      <c r="E633" s="14">
        <f>L633-K633</f>
        <v/>
      </c>
      <c r="F633" s="14" t="n">
        <v>0</v>
      </c>
      <c r="G633" s="14">
        <f>F633-E633</f>
        <v/>
      </c>
      <c r="H633" s="7" t="n">
        <v>55</v>
      </c>
      <c r="I633" s="7">
        <f>G633*H633</f>
        <v/>
      </c>
      <c r="J633" s="16" t="inlineStr">
        <is>
          <t>لم يُجرد</t>
        </is>
      </c>
      <c r="K633" s="14" t="n">
        <v>0</v>
      </c>
      <c r="L633" s="14" t="n">
        <v>3</v>
      </c>
      <c r="M633" s="5" t="inlineStr"/>
      <c r="N633" s="5" t="inlineStr"/>
    </row>
    <row r="634">
      <c r="A634" s="13" t="inlineStr">
        <is>
          <t>00012815</t>
        </is>
      </c>
      <c r="B634" s="5" t="inlineStr">
        <is>
          <t>[00012815] AVALON AMAGLIME 3MG 30TAB</t>
        </is>
      </c>
      <c r="C634" s="5" t="inlineStr">
        <is>
          <t>دواء</t>
        </is>
      </c>
      <c r="D634" s="13" t="inlineStr">
        <is>
          <t>06285095006852</t>
        </is>
      </c>
      <c r="E634" s="14">
        <f>L634-K634</f>
        <v/>
      </c>
      <c r="F634" s="14" t="n">
        <v>0</v>
      </c>
      <c r="G634" s="14">
        <f>F634-E634</f>
        <v/>
      </c>
      <c r="H634" s="7" t="n">
        <v>23.6</v>
      </c>
      <c r="I634" s="7">
        <f>G634*H634</f>
        <v/>
      </c>
      <c r="J634" s="16" t="inlineStr">
        <is>
          <t>لم يُجرد</t>
        </is>
      </c>
      <c r="K634" s="14" t="n">
        <v>0</v>
      </c>
      <c r="L634" s="14" t="n">
        <v>7</v>
      </c>
      <c r="M634" s="5" t="inlineStr"/>
      <c r="N634" s="5" t="inlineStr"/>
    </row>
    <row r="635">
      <c r="A635" s="13" t="inlineStr">
        <is>
          <t>0003390</t>
        </is>
      </c>
      <c r="B635" s="5" t="inlineStr">
        <is>
          <t>[0003390] JP VITAMIN D3 1000IU 60 CAP****</t>
        </is>
      </c>
      <c r="C635" s="5" t="inlineStr">
        <is>
          <t>دواء</t>
        </is>
      </c>
      <c r="D635" s="13" t="inlineStr">
        <is>
          <t>06285128002028</t>
        </is>
      </c>
      <c r="E635" s="14">
        <f>L635-K635</f>
        <v/>
      </c>
      <c r="F635" s="14" t="n">
        <v>0</v>
      </c>
      <c r="G635" s="14">
        <f>F635-E635</f>
        <v/>
      </c>
      <c r="H635" s="7" t="n">
        <v>33</v>
      </c>
      <c r="I635" s="7">
        <f>G635*H635</f>
        <v/>
      </c>
      <c r="J635" s="16" t="inlineStr">
        <is>
          <t>لم يُجرد</t>
        </is>
      </c>
      <c r="K635" s="14" t="n">
        <v>0</v>
      </c>
      <c r="L635" s="14" t="n">
        <v>5</v>
      </c>
      <c r="M635" s="5" t="inlineStr"/>
      <c r="N635" s="5" t="inlineStr"/>
    </row>
    <row r="636">
      <c r="A636" s="13" t="inlineStr">
        <is>
          <t>0005292</t>
        </is>
      </c>
      <c r="B636" s="5" t="inlineStr">
        <is>
          <t>[0005292] PANTOZOL 40 MG 30 TAB</t>
        </is>
      </c>
      <c r="C636" s="5" t="inlineStr">
        <is>
          <t>دواء</t>
        </is>
      </c>
      <c r="D636" s="13" t="inlineStr">
        <is>
          <t>07640153082688</t>
        </is>
      </c>
      <c r="E636" s="14">
        <f>L636-K636</f>
        <v/>
      </c>
      <c r="F636" s="14" t="n">
        <v>0</v>
      </c>
      <c r="G636" s="14">
        <f>F636-E636</f>
        <v/>
      </c>
      <c r="H636" s="7" t="n">
        <v>87.95</v>
      </c>
      <c r="I636" s="7">
        <f>G636*H636</f>
        <v/>
      </c>
      <c r="J636" s="16" t="inlineStr">
        <is>
          <t>لم يُجرد</t>
        </is>
      </c>
      <c r="K636" s="14" t="n">
        <v>0</v>
      </c>
      <c r="L636" s="14" t="n">
        <v>2</v>
      </c>
      <c r="M636" s="5" t="inlineStr"/>
      <c r="N636" s="5" t="inlineStr"/>
    </row>
    <row r="637">
      <c r="A637" s="13" t="inlineStr">
        <is>
          <t>00020378</t>
        </is>
      </c>
      <c r="B637" s="5" t="inlineStr">
        <is>
          <t>[00020378] BRONCHICARE PLUS SYRUP 150ML</t>
        </is>
      </c>
      <c r="C637" s="5" t="inlineStr">
        <is>
          <t>دواء</t>
        </is>
      </c>
      <c r="D637" s="13" t="inlineStr">
        <is>
          <t>6281147006078</t>
        </is>
      </c>
      <c r="E637" s="14">
        <f>L637-K637</f>
        <v/>
      </c>
      <c r="F637" s="14" t="n">
        <v>0</v>
      </c>
      <c r="G637" s="14">
        <f>F637-E637</f>
        <v/>
      </c>
      <c r="H637" s="7" t="n">
        <v>54.85</v>
      </c>
      <c r="I637" s="7">
        <f>G637*H637</f>
        <v/>
      </c>
      <c r="J637" s="16" t="inlineStr">
        <is>
          <t>لم يُجرد</t>
        </is>
      </c>
      <c r="K637" s="14" t="n">
        <v>0</v>
      </c>
      <c r="L637" s="14" t="n">
        <v>3</v>
      </c>
      <c r="M637" s="5" t="inlineStr"/>
      <c r="N637" s="5" t="inlineStr"/>
    </row>
    <row r="638">
      <c r="A638" s="13" t="inlineStr">
        <is>
          <t>0003537</t>
        </is>
      </c>
      <c r="B638" s="5" t="inlineStr">
        <is>
          <t>[0003537] GLUCOPHAGE 500MG 50TAB</t>
        </is>
      </c>
      <c r="C638" s="5" t="inlineStr">
        <is>
          <t>دواء</t>
        </is>
      </c>
      <c r="D638" s="13" t="inlineStr">
        <is>
          <t>04065270495013</t>
        </is>
      </c>
      <c r="E638" s="14">
        <f>L638-K638</f>
        <v/>
      </c>
      <c r="F638" s="14" t="n">
        <v>0</v>
      </c>
      <c r="G638" s="14">
        <f>F638-E638</f>
        <v/>
      </c>
      <c r="H638" s="7" t="n">
        <v>16.55</v>
      </c>
      <c r="I638" s="7">
        <f>G638*H638</f>
        <v/>
      </c>
      <c r="J638" s="16" t="inlineStr">
        <is>
          <t>لم يُجرد</t>
        </is>
      </c>
      <c r="K638" s="14" t="n">
        <v>0</v>
      </c>
      <c r="L638" s="14" t="n">
        <v>10</v>
      </c>
      <c r="M638" s="5" t="inlineStr"/>
      <c r="N638" s="5" t="inlineStr"/>
    </row>
    <row r="639">
      <c r="A639" s="13" t="inlineStr">
        <is>
          <t>00042775</t>
        </is>
      </c>
      <c r="B639" s="5" t="inlineStr">
        <is>
          <t>[00042775] FEVADOL 30 TABLETS 500MG</t>
        </is>
      </c>
      <c r="C639" s="5" t="inlineStr">
        <is>
          <t>دواء</t>
        </is>
      </c>
      <c r="D639" s="13" t="inlineStr"/>
      <c r="E639" s="14">
        <f>L639-K639</f>
        <v/>
      </c>
      <c r="F639" s="14" t="n">
        <v>0</v>
      </c>
      <c r="G639" s="14">
        <f>F639-E639</f>
        <v/>
      </c>
      <c r="H639" s="7" t="n">
        <v>6.3</v>
      </c>
      <c r="I639" s="7">
        <f>G639*H639</f>
        <v/>
      </c>
      <c r="J639" s="16" t="inlineStr">
        <is>
          <t>لم يُجرد</t>
        </is>
      </c>
      <c r="K639" s="14" t="n">
        <v>0</v>
      </c>
      <c r="L639" s="14" t="n">
        <v>29</v>
      </c>
      <c r="M639" s="5" t="inlineStr"/>
      <c r="N639" s="5" t="inlineStr"/>
    </row>
    <row r="640">
      <c r="A640" s="13" t="inlineStr">
        <is>
          <t>00046907</t>
        </is>
      </c>
      <c r="B640" s="5" t="inlineStr">
        <is>
          <t>[00046907] TIDILOR 10MG 30 TAB</t>
        </is>
      </c>
      <c r="C640" s="5" t="inlineStr">
        <is>
          <t>دواء</t>
        </is>
      </c>
      <c r="D640" s="13" t="inlineStr"/>
      <c r="E640" s="14">
        <f>L640-K640</f>
        <v/>
      </c>
      <c r="F640" s="14" t="n">
        <v>0</v>
      </c>
      <c r="G640" s="14">
        <f>F640-E640</f>
        <v/>
      </c>
      <c r="H640" s="7" t="n">
        <v>40.75</v>
      </c>
      <c r="I640" s="7">
        <f>G640*H640</f>
        <v/>
      </c>
      <c r="J640" s="16" t="inlineStr">
        <is>
          <t>لم يُجرد</t>
        </is>
      </c>
      <c r="K640" s="14" t="n">
        <v>0</v>
      </c>
      <c r="L640" s="14" t="n">
        <v>4</v>
      </c>
      <c r="M640" s="5" t="inlineStr"/>
      <c r="N640" s="5" t="inlineStr"/>
    </row>
    <row r="641">
      <c r="A641" s="13" t="inlineStr">
        <is>
          <t>0004298</t>
        </is>
      </c>
      <c r="B641" s="5" t="inlineStr">
        <is>
          <t>[0004298] CENTRUM WITH LUTEIN 30 TAB 74117</t>
        </is>
      </c>
      <c r="C641" s="5" t="inlineStr">
        <is>
          <t>دواء</t>
        </is>
      </c>
      <c r="D641" s="13" t="inlineStr">
        <is>
          <t>06286740000010</t>
        </is>
      </c>
      <c r="E641" s="14">
        <f>L641-K641</f>
        <v/>
      </c>
      <c r="F641" s="14" t="n">
        <v>0</v>
      </c>
      <c r="G641" s="14">
        <f>F641-E641</f>
        <v/>
      </c>
      <c r="H641" s="7" t="n">
        <v>20.4</v>
      </c>
      <c r="I641" s="7">
        <f>G641*H641</f>
        <v/>
      </c>
      <c r="J641" s="16" t="inlineStr">
        <is>
          <t>لم يُجرد</t>
        </is>
      </c>
      <c r="K641" s="14" t="n">
        <v>0</v>
      </c>
      <c r="L641" s="14" t="n">
        <v>8</v>
      </c>
      <c r="M641" s="5" t="inlineStr"/>
      <c r="N641" s="5" t="inlineStr"/>
    </row>
    <row r="642">
      <c r="A642" s="13" t="inlineStr">
        <is>
          <t>0004332</t>
        </is>
      </c>
      <c r="B642" s="5" t="inlineStr">
        <is>
          <t>[0004332] CELEBREX 200MG 20 CAPS*****</t>
        </is>
      </c>
      <c r="C642" s="5" t="inlineStr">
        <is>
          <t>دواء</t>
        </is>
      </c>
      <c r="D642" s="13" t="inlineStr">
        <is>
          <t>00840149653183</t>
        </is>
      </c>
      <c r="E642" s="14">
        <f>L642-K642</f>
        <v/>
      </c>
      <c r="F642" s="14" t="n">
        <v>0</v>
      </c>
      <c r="G642" s="14">
        <f>F642-E642</f>
        <v/>
      </c>
      <c r="H642" s="7" t="n">
        <v>40.5</v>
      </c>
      <c r="I642" s="7">
        <f>G642*H642</f>
        <v/>
      </c>
      <c r="J642" s="16" t="inlineStr">
        <is>
          <t>لم يُجرد</t>
        </is>
      </c>
      <c r="K642" s="14" t="n">
        <v>0</v>
      </c>
      <c r="L642" s="14" t="n">
        <v>4</v>
      </c>
      <c r="M642" s="5" t="inlineStr"/>
      <c r="N642" s="5" t="inlineStr"/>
    </row>
    <row r="643">
      <c r="A643" s="13" t="inlineStr">
        <is>
          <t>00048247</t>
        </is>
      </c>
      <c r="B643" s="5" t="inlineStr">
        <is>
          <t>[00048247] MR TUMEE VIT C 60 GUMEE 0103</t>
        </is>
      </c>
      <c r="C643" s="5" t="inlineStr">
        <is>
          <t>دواء</t>
        </is>
      </c>
      <c r="D643" s="13" t="inlineStr">
        <is>
          <t>835776000103</t>
        </is>
      </c>
      <c r="E643" s="14">
        <f>L643-K643</f>
        <v/>
      </c>
      <c r="F643" s="14" t="n">
        <v>0</v>
      </c>
      <c r="G643" s="14">
        <f>F643-E643</f>
        <v/>
      </c>
      <c r="H643" s="7" t="n">
        <v>124</v>
      </c>
      <c r="I643" s="7">
        <f>G643*H643</f>
        <v/>
      </c>
      <c r="J643" s="16" t="inlineStr">
        <is>
          <t>لم يُجرد</t>
        </is>
      </c>
      <c r="K643" s="14" t="n">
        <v>0</v>
      </c>
      <c r="L643" s="14" t="n">
        <v>3</v>
      </c>
      <c r="M643" s="5" t="inlineStr"/>
      <c r="N643" s="5" t="inlineStr"/>
    </row>
    <row r="644">
      <c r="A644" s="13" t="inlineStr">
        <is>
          <t>00010420</t>
        </is>
      </c>
      <c r="B644" s="5" t="inlineStr">
        <is>
          <t>[00010420] ACCU CHEK ACTIVE STRIPS 50PCS E0033A</t>
        </is>
      </c>
      <c r="C644" s="5" t="inlineStr">
        <is>
          <t>دواء</t>
        </is>
      </c>
      <c r="D644" s="13" t="inlineStr">
        <is>
          <t>4015630063871</t>
        </is>
      </c>
      <c r="E644" s="14">
        <f>L644-K644</f>
        <v/>
      </c>
      <c r="F644" s="14" t="n">
        <v>0</v>
      </c>
      <c r="G644" s="14">
        <f>F644-E644</f>
        <v/>
      </c>
      <c r="H644" s="7" t="n">
        <v>55</v>
      </c>
      <c r="I644" s="7">
        <f>G644*H644</f>
        <v/>
      </c>
      <c r="J644" s="16" t="inlineStr">
        <is>
          <t>لم يُجرد</t>
        </is>
      </c>
      <c r="K644" s="14" t="n">
        <v>0</v>
      </c>
      <c r="L644" s="14" t="n">
        <v>3</v>
      </c>
      <c r="M644" s="5" t="inlineStr"/>
      <c r="N644" s="5" t="inlineStr"/>
    </row>
    <row r="645">
      <c r="A645" s="13" t="inlineStr">
        <is>
          <t>0005851</t>
        </is>
      </c>
      <c r="B645" s="5" t="inlineStr">
        <is>
          <t>[0005851] AVALON AVOCIN 2% VAGINAL CREAM 40GM</t>
        </is>
      </c>
      <c r="C645" s="5" t="inlineStr">
        <is>
          <t>دواء</t>
        </is>
      </c>
      <c r="D645" s="13" t="inlineStr">
        <is>
          <t>0106285095004667</t>
        </is>
      </c>
      <c r="E645" s="14">
        <f>L645-K645</f>
        <v/>
      </c>
      <c r="F645" s="14" t="n">
        <v>0</v>
      </c>
      <c r="G645" s="14">
        <f>F645-E645</f>
        <v/>
      </c>
      <c r="H645" s="7" t="n">
        <v>40.45</v>
      </c>
      <c r="I645" s="7">
        <f>G645*H645</f>
        <v/>
      </c>
      <c r="J645" s="16" t="inlineStr">
        <is>
          <t>لم يُجرد</t>
        </is>
      </c>
      <c r="K645" s="14" t="n">
        <v>0</v>
      </c>
      <c r="L645" s="14" t="n">
        <v>4</v>
      </c>
      <c r="M645" s="5" t="inlineStr"/>
      <c r="N645" s="5" t="inlineStr"/>
    </row>
    <row r="646">
      <c r="A646" s="13" t="inlineStr">
        <is>
          <t>00018927</t>
        </is>
      </c>
      <c r="B646" s="5" t="inlineStr">
        <is>
          <t>[00018927] RAFLOX 500MG 5TAB</t>
        </is>
      </c>
      <c r="C646" s="5" t="inlineStr">
        <is>
          <t>دواء</t>
        </is>
      </c>
      <c r="D646" s="13" t="inlineStr"/>
      <c r="E646" s="14">
        <f>L646-K646</f>
        <v/>
      </c>
      <c r="F646" s="14" t="n">
        <v>0</v>
      </c>
      <c r="G646" s="14">
        <f>F646-E646</f>
        <v/>
      </c>
      <c r="H646" s="7" t="n">
        <v>40.4</v>
      </c>
      <c r="I646" s="7">
        <f>G646*H646</f>
        <v/>
      </c>
      <c r="J646" s="16" t="inlineStr">
        <is>
          <t>لم يُجرد</t>
        </is>
      </c>
      <c r="K646" s="14" t="n">
        <v>0</v>
      </c>
      <c r="L646" s="14" t="n">
        <v>4</v>
      </c>
      <c r="M646" s="5" t="inlineStr"/>
      <c r="N646" s="5" t="inlineStr"/>
    </row>
    <row r="647">
      <c r="A647" s="13" t="inlineStr">
        <is>
          <t>0003463</t>
        </is>
      </c>
      <c r="B647" s="5" t="inlineStr">
        <is>
          <t>[0003463] HYMOX 250MG 20 CAP</t>
        </is>
      </c>
      <c r="C647" s="5" t="inlineStr">
        <is>
          <t>دواء</t>
        </is>
      </c>
      <c r="D647" s="13" t="inlineStr"/>
      <c r="E647" s="14">
        <f>L647-K647</f>
        <v/>
      </c>
      <c r="F647" s="14" t="n">
        <v>0</v>
      </c>
      <c r="G647" s="14">
        <f>F647-E647</f>
        <v/>
      </c>
      <c r="H647" s="7" t="n">
        <v>20.2</v>
      </c>
      <c r="I647" s="7">
        <f>G647*H647</f>
        <v/>
      </c>
      <c r="J647" s="16" t="inlineStr">
        <is>
          <t>لم يُجرد</t>
        </is>
      </c>
      <c r="K647" s="14" t="n">
        <v>0</v>
      </c>
      <c r="L647" s="14" t="n">
        <v>8</v>
      </c>
      <c r="M647" s="5" t="inlineStr"/>
      <c r="N647" s="5" t="inlineStr"/>
    </row>
    <row r="648">
      <c r="A648" s="13" t="inlineStr">
        <is>
          <t>00013637</t>
        </is>
      </c>
      <c r="B648" s="5" t="inlineStr">
        <is>
          <t>[00013637] GLUCARE XR 750MG 30TAB</t>
        </is>
      </c>
      <c r="C648" s="5" t="inlineStr">
        <is>
          <t>دواء</t>
        </is>
      </c>
      <c r="D648" s="13" t="inlineStr"/>
      <c r="E648" s="14">
        <f>L648-K648</f>
        <v/>
      </c>
      <c r="F648" s="14" t="n">
        <v>0</v>
      </c>
      <c r="G648" s="14">
        <f>F648-E648</f>
        <v/>
      </c>
      <c r="H648" s="7" t="n">
        <v>23.75</v>
      </c>
      <c r="I648" s="7">
        <f>G648*H648</f>
        <v/>
      </c>
      <c r="J648" s="16" t="inlineStr">
        <is>
          <t>لم يُجرد</t>
        </is>
      </c>
      <c r="K648" s="14" t="n">
        <v>0</v>
      </c>
      <c r="L648" s="14" t="n">
        <v>7</v>
      </c>
      <c r="M648" s="5" t="inlineStr"/>
      <c r="N648" s="5" t="inlineStr"/>
    </row>
    <row r="649">
      <c r="A649" s="13" t="inlineStr">
        <is>
          <t>00036516</t>
        </is>
      </c>
      <c r="B649" s="5" t="inlineStr">
        <is>
          <t>[00036516] DICOFLOR 60 30CAP 1088</t>
        </is>
      </c>
      <c r="C649" s="5" t="inlineStr">
        <is>
          <t>دواء</t>
        </is>
      </c>
      <c r="D649" s="13" t="inlineStr">
        <is>
          <t>8033300191088</t>
        </is>
      </c>
      <c r="E649" s="14">
        <f>L649-K649</f>
        <v/>
      </c>
      <c r="F649" s="14" t="n">
        <v>0</v>
      </c>
      <c r="G649" s="14">
        <f>F649-E649</f>
        <v/>
      </c>
      <c r="H649" s="7" t="n">
        <v>148</v>
      </c>
      <c r="I649" s="7">
        <f>G649*H649</f>
        <v/>
      </c>
      <c r="J649" s="16" t="inlineStr">
        <is>
          <t>لم يُجرد</t>
        </is>
      </c>
      <c r="K649" s="14" t="n">
        <v>0</v>
      </c>
      <c r="L649" s="14" t="n">
        <v>2</v>
      </c>
      <c r="M649" s="5" t="inlineStr"/>
      <c r="N649" s="5" t="inlineStr"/>
    </row>
    <row r="650">
      <c r="A650" s="13" t="inlineStr">
        <is>
          <t>00027811</t>
        </is>
      </c>
      <c r="B650" s="5" t="inlineStr">
        <is>
          <t>[00027811] INCRESYNC 25/30MG TAB</t>
        </is>
      </c>
      <c r="C650" s="5" t="inlineStr">
        <is>
          <t>دواء</t>
        </is>
      </c>
      <c r="D650" s="13" t="inlineStr"/>
      <c r="E650" s="14">
        <f>L650-K650</f>
        <v/>
      </c>
      <c r="F650" s="14" t="n">
        <v>0</v>
      </c>
      <c r="G650" s="14">
        <f>F650-E650</f>
        <v/>
      </c>
      <c r="H650" s="7" t="n">
        <v>159.75</v>
      </c>
      <c r="I650" s="7">
        <f>G650*H650</f>
        <v/>
      </c>
      <c r="J650" s="16" t="inlineStr">
        <is>
          <t>لم يُجرد</t>
        </is>
      </c>
      <c r="K650" s="14" t="n">
        <v>0</v>
      </c>
      <c r="L650" s="14" t="n">
        <v>1</v>
      </c>
      <c r="M650" s="5" t="inlineStr"/>
      <c r="N650" s="5" t="inlineStr"/>
    </row>
    <row r="651">
      <c r="A651" s="13" t="inlineStr">
        <is>
          <t>0004387</t>
        </is>
      </c>
      <c r="B651" s="5" t="inlineStr">
        <is>
          <t>[0004387] BUTALIN INHALER</t>
        </is>
      </c>
      <c r="C651" s="5" t="inlineStr">
        <is>
          <t>دواء</t>
        </is>
      </c>
      <c r="D651" s="13" t="inlineStr">
        <is>
          <t>06291100083879</t>
        </is>
      </c>
      <c r="E651" s="14">
        <f>L651-K651</f>
        <v/>
      </c>
      <c r="F651" s="14" t="n">
        <v>0</v>
      </c>
      <c r="G651" s="14">
        <f>F651-E651</f>
        <v/>
      </c>
      <c r="H651" s="7" t="n">
        <v>14.5</v>
      </c>
      <c r="I651" s="7">
        <f>G651*H651</f>
        <v/>
      </c>
      <c r="J651" s="16" t="inlineStr">
        <is>
          <t>لم يُجرد</t>
        </is>
      </c>
      <c r="K651" s="14" t="n">
        <v>0</v>
      </c>
      <c r="L651" s="14" t="n">
        <v>11</v>
      </c>
      <c r="M651" s="5" t="inlineStr"/>
      <c r="N651" s="5" t="inlineStr"/>
    </row>
    <row r="652">
      <c r="A652" s="13" t="inlineStr">
        <is>
          <t>0005382</t>
        </is>
      </c>
      <c r="B652" s="5" t="inlineStr">
        <is>
          <t>[0005382] OXIMAL 15MG 30TAB</t>
        </is>
      </c>
      <c r="C652" s="5" t="inlineStr">
        <is>
          <t>دواء</t>
        </is>
      </c>
      <c r="D652" s="13" t="inlineStr">
        <is>
          <t>06251154072021</t>
        </is>
      </c>
      <c r="E652" s="14">
        <f>L652-K652</f>
        <v/>
      </c>
      <c r="F652" s="14" t="n">
        <v>0</v>
      </c>
      <c r="G652" s="14">
        <f>F652-E652</f>
        <v/>
      </c>
      <c r="H652" s="7" t="n">
        <v>29.75</v>
      </c>
      <c r="I652" s="7">
        <f>G652*H652</f>
        <v/>
      </c>
      <c r="J652" s="16" t="inlineStr">
        <is>
          <t>لم يُجرد</t>
        </is>
      </c>
      <c r="K652" s="14" t="n">
        <v>0</v>
      </c>
      <c r="L652" s="14" t="n">
        <v>5.34</v>
      </c>
      <c r="M652" s="5" t="inlineStr"/>
      <c r="N652" s="5" t="inlineStr"/>
    </row>
    <row r="653">
      <c r="A653" s="13" t="inlineStr">
        <is>
          <t>00020427</t>
        </is>
      </c>
      <c r="B653" s="5" t="inlineStr">
        <is>
          <t>[00020427] JP NEMR ROYAL 1000MG 30CAP</t>
        </is>
      </c>
      <c r="C653" s="5" t="inlineStr">
        <is>
          <t>دواء</t>
        </is>
      </c>
      <c r="D653" s="13" t="inlineStr"/>
      <c r="E653" s="14">
        <f>L653-K653</f>
        <v/>
      </c>
      <c r="F653" s="14" t="n">
        <v>0</v>
      </c>
      <c r="G653" s="14">
        <f>F653-E653</f>
        <v/>
      </c>
      <c r="H653" s="7" t="n">
        <v>145</v>
      </c>
      <c r="I653" s="7">
        <f>G653*H653</f>
        <v/>
      </c>
      <c r="J653" s="16" t="inlineStr">
        <is>
          <t>لم يُجرد</t>
        </is>
      </c>
      <c r="K653" s="14" t="n">
        <v>0</v>
      </c>
      <c r="L653" s="14" t="n">
        <v>1</v>
      </c>
      <c r="M653" s="5" t="inlineStr"/>
      <c r="N653" s="5" t="inlineStr"/>
    </row>
    <row r="654">
      <c r="A654" s="13" t="inlineStr">
        <is>
          <t>00045761</t>
        </is>
      </c>
      <c r="B654" s="5" t="inlineStr">
        <is>
          <t>[00045761] AVALON AMODIP 5MG 30CAP</t>
        </is>
      </c>
      <c r="C654" s="5" t="inlineStr">
        <is>
          <t>دواء</t>
        </is>
      </c>
      <c r="D654" s="13" t="inlineStr">
        <is>
          <t>06285095007033</t>
        </is>
      </c>
      <c r="E654" s="14">
        <f>L654-K654</f>
        <v/>
      </c>
      <c r="F654" s="14" t="n">
        <v>0</v>
      </c>
      <c r="G654" s="14">
        <f>F654-E654</f>
        <v/>
      </c>
      <c r="H654" s="7" t="n">
        <v>26.45</v>
      </c>
      <c r="I654" s="7">
        <f>G654*H654</f>
        <v/>
      </c>
      <c r="J654" s="16" t="inlineStr">
        <is>
          <t>لم يُجرد</t>
        </is>
      </c>
      <c r="K654" s="14" t="n">
        <v>0</v>
      </c>
      <c r="L654" s="14" t="n">
        <v>6</v>
      </c>
      <c r="M654" s="5" t="inlineStr"/>
      <c r="N654" s="5" t="inlineStr"/>
    </row>
    <row r="655">
      <c r="A655" s="13" t="inlineStr">
        <is>
          <t>00046783</t>
        </is>
      </c>
      <c r="B655" s="5" t="inlineStr">
        <is>
          <t>[00046783] ASHWAGNOOR 60 CAP 1053</t>
        </is>
      </c>
      <c r="C655" s="5" t="inlineStr">
        <is>
          <t>دواء</t>
        </is>
      </c>
      <c r="D655" s="13" t="inlineStr">
        <is>
          <t>0765464631053</t>
        </is>
      </c>
      <c r="E655" s="14">
        <f>L655-K655</f>
        <v/>
      </c>
      <c r="F655" s="14" t="n">
        <v>0</v>
      </c>
      <c r="G655" s="14">
        <f>F655-E655</f>
        <v/>
      </c>
      <c r="H655" s="7" t="n">
        <v>120</v>
      </c>
      <c r="I655" s="7">
        <f>G655*H655</f>
        <v/>
      </c>
      <c r="J655" s="16" t="inlineStr">
        <is>
          <t>لم يُجرد</t>
        </is>
      </c>
      <c r="K655" s="14" t="n">
        <v>0</v>
      </c>
      <c r="L655" s="14" t="n">
        <v>4</v>
      </c>
      <c r="M655" s="5" t="inlineStr"/>
      <c r="N655" s="5" t="inlineStr"/>
    </row>
    <row r="656">
      <c r="A656" s="13" t="inlineStr">
        <is>
          <t>00044126</t>
        </is>
      </c>
      <c r="B656" s="5" t="inlineStr">
        <is>
          <t>[00044126] PJUR6200 MY GLIDE 100 ML LUBRICANT</t>
        </is>
      </c>
      <c r="C656" s="5" t="inlineStr">
        <is>
          <t>دواء</t>
        </is>
      </c>
      <c r="D656" s="13" t="inlineStr">
        <is>
          <t>827160116200</t>
        </is>
      </c>
      <c r="E656" s="14">
        <f>L656-K656</f>
        <v/>
      </c>
      <c r="F656" s="14" t="n">
        <v>0</v>
      </c>
      <c r="G656" s="14">
        <f>F656-E656</f>
        <v/>
      </c>
      <c r="H656" s="7" t="n">
        <v>130</v>
      </c>
      <c r="I656" s="7">
        <f>G656*H656</f>
        <v/>
      </c>
      <c r="J656" s="16" t="inlineStr">
        <is>
          <t>لم يُجرد</t>
        </is>
      </c>
      <c r="K656" s="14" t="n">
        <v>0</v>
      </c>
      <c r="L656" s="14" t="n">
        <v>2</v>
      </c>
      <c r="M656" s="5" t="inlineStr"/>
      <c r="N656" s="5" t="inlineStr"/>
    </row>
    <row r="657">
      <c r="A657" s="13" t="inlineStr">
        <is>
          <t>00044127</t>
        </is>
      </c>
      <c r="B657" s="5" t="inlineStr">
        <is>
          <t>[00044127] PJUR6217SUPER HERO  LUBRICANT 100 ML</t>
        </is>
      </c>
      <c r="C657" s="5" t="inlineStr">
        <is>
          <t>دواء</t>
        </is>
      </c>
      <c r="D657" s="13" t="inlineStr">
        <is>
          <t>827160116217</t>
        </is>
      </c>
      <c r="E657" s="14">
        <f>L657-K657</f>
        <v/>
      </c>
      <c r="F657" s="14" t="n">
        <v>0</v>
      </c>
      <c r="G657" s="14">
        <f>F657-E657</f>
        <v/>
      </c>
      <c r="H657" s="7" t="n">
        <v>130</v>
      </c>
      <c r="I657" s="7">
        <f>G657*H657</f>
        <v/>
      </c>
      <c r="J657" s="16" t="inlineStr">
        <is>
          <t>لم يُجرد</t>
        </is>
      </c>
      <c r="K657" s="14" t="n">
        <v>0</v>
      </c>
      <c r="L657" s="14" t="n">
        <v>2</v>
      </c>
      <c r="M657" s="5" t="inlineStr"/>
      <c r="N657" s="5" t="inlineStr"/>
    </row>
    <row r="658">
      <c r="A658" s="13" t="inlineStr">
        <is>
          <t>00036198</t>
        </is>
      </c>
      <c r="B658" s="5" t="inlineStr">
        <is>
          <t>[00036198] EZORA 20MG 28CAP</t>
        </is>
      </c>
      <c r="C658" s="5" t="inlineStr">
        <is>
          <t>دواء</t>
        </is>
      </c>
      <c r="D658" s="13" t="inlineStr">
        <is>
          <t>06281086005224</t>
        </is>
      </c>
      <c r="E658" s="14">
        <f>L658-K658</f>
        <v/>
      </c>
      <c r="F658" s="14" t="n">
        <v>0</v>
      </c>
      <c r="G658" s="14">
        <f>F658-E658</f>
        <v/>
      </c>
      <c r="H658" s="7" t="n">
        <v>52.55</v>
      </c>
      <c r="I658" s="7">
        <f>G658*H658</f>
        <v/>
      </c>
      <c r="J658" s="16" t="inlineStr">
        <is>
          <t>لم يُجرد</t>
        </is>
      </c>
      <c r="K658" s="14" t="n">
        <v>0</v>
      </c>
      <c r="L658" s="14" t="n">
        <v>3</v>
      </c>
      <c r="M658" s="5" t="inlineStr"/>
      <c r="N658" s="5" t="inlineStr"/>
    </row>
    <row r="659">
      <c r="A659" s="13" t="inlineStr">
        <is>
          <t>00044347</t>
        </is>
      </c>
      <c r="B659" s="5" t="inlineStr">
        <is>
          <t>[00044347] FEROSOM FORTE STICKS 2268</t>
        </is>
      </c>
      <c r="C659" s="5" t="inlineStr">
        <is>
          <t>دواء</t>
        </is>
      </c>
      <c r="D659" s="13" t="inlineStr">
        <is>
          <t>628055192268</t>
        </is>
      </c>
      <c r="E659" s="14">
        <f>L659-K659</f>
        <v/>
      </c>
      <c r="F659" s="14" t="n">
        <v>0</v>
      </c>
      <c r="G659" s="14">
        <f>F659-E659</f>
        <v/>
      </c>
      <c r="H659" s="7" t="n">
        <v>129</v>
      </c>
      <c r="I659" s="7">
        <f>G659*H659</f>
        <v/>
      </c>
      <c r="J659" s="16" t="inlineStr">
        <is>
          <t>لم يُجرد</t>
        </is>
      </c>
      <c r="K659" s="14" t="n">
        <v>0</v>
      </c>
      <c r="L659" s="14" t="n">
        <v>2</v>
      </c>
      <c r="M659" s="5" t="inlineStr"/>
      <c r="N659" s="5" t="inlineStr"/>
    </row>
    <row r="660">
      <c r="A660" s="13" t="inlineStr">
        <is>
          <t>0005136</t>
        </is>
      </c>
      <c r="B660" s="5" t="inlineStr">
        <is>
          <t>[0005136] QUEEN JELLY ROYAL 2000 G0018 ECKHART</t>
        </is>
      </c>
      <c r="C660" s="5" t="inlineStr">
        <is>
          <t>دواء</t>
        </is>
      </c>
      <c r="D660" s="13" t="inlineStr">
        <is>
          <t>714654885028</t>
        </is>
      </c>
      <c r="E660" s="14">
        <f>L660-K660</f>
        <v/>
      </c>
      <c r="F660" s="14" t="n">
        <v>0</v>
      </c>
      <c r="G660" s="14">
        <f>F660-E660</f>
        <v/>
      </c>
      <c r="H660" s="7" t="n">
        <v>218</v>
      </c>
      <c r="I660" s="7">
        <f>G660*H660</f>
        <v/>
      </c>
      <c r="J660" s="16" t="inlineStr">
        <is>
          <t>لم يُجرد</t>
        </is>
      </c>
      <c r="K660" s="14" t="n">
        <v>0</v>
      </c>
      <c r="L660" s="14" t="n">
        <v>1</v>
      </c>
      <c r="M660" s="5" t="inlineStr"/>
      <c r="N660" s="5" t="inlineStr"/>
    </row>
    <row r="661">
      <c r="A661" s="13" t="inlineStr">
        <is>
          <t>0004791</t>
        </is>
      </c>
      <c r="B661" s="5" t="inlineStr">
        <is>
          <t>[0004791] TIDILOR SYRUP 5MG/ML 100ML</t>
        </is>
      </c>
      <c r="C661" s="5" t="inlineStr">
        <is>
          <t>دواء</t>
        </is>
      </c>
      <c r="D661" s="13" t="inlineStr">
        <is>
          <t>06251106200182</t>
        </is>
      </c>
      <c r="E661" s="14">
        <f>L661-K661</f>
        <v/>
      </c>
      <c r="F661" s="14" t="n">
        <v>0</v>
      </c>
      <c r="G661" s="14">
        <f>F661-E661</f>
        <v/>
      </c>
      <c r="H661" s="7" t="n">
        <v>13.15</v>
      </c>
      <c r="I661" s="7">
        <f>G661*H661</f>
        <v/>
      </c>
      <c r="J661" s="16" t="inlineStr">
        <is>
          <t>لم يُجرد</t>
        </is>
      </c>
      <c r="K661" s="14" t="n">
        <v>0</v>
      </c>
      <c r="L661" s="14" t="n">
        <v>12</v>
      </c>
      <c r="M661" s="5" t="inlineStr"/>
      <c r="N661" s="5" t="inlineStr"/>
    </row>
    <row r="662">
      <c r="A662" s="13" t="inlineStr">
        <is>
          <t>0005089</t>
        </is>
      </c>
      <c r="B662" s="5" t="inlineStr">
        <is>
          <t>[0005089] RIAPHYLLIN 60MG/5ML SYRUP</t>
        </is>
      </c>
      <c r="C662" s="5" t="inlineStr">
        <is>
          <t>دواء</t>
        </is>
      </c>
      <c r="D662" s="13" t="inlineStr">
        <is>
          <t>06281080011597</t>
        </is>
      </c>
      <c r="E662" s="14">
        <f>L662-K662</f>
        <v/>
      </c>
      <c r="F662" s="14" t="n">
        <v>0</v>
      </c>
      <c r="G662" s="14">
        <f>F662-E662</f>
        <v/>
      </c>
      <c r="H662" s="7" t="n">
        <v>18.65</v>
      </c>
      <c r="I662" s="7">
        <f>G662*H662</f>
        <v/>
      </c>
      <c r="J662" s="16" t="inlineStr">
        <is>
          <t>لم يُجرد</t>
        </is>
      </c>
      <c r="K662" s="14" t="n">
        <v>0</v>
      </c>
      <c r="L662" s="14" t="n">
        <v>12</v>
      </c>
      <c r="M662" s="5" t="inlineStr"/>
      <c r="N662" s="5" t="inlineStr"/>
    </row>
    <row r="663">
      <c r="A663" s="13" t="inlineStr">
        <is>
          <t>0005662</t>
        </is>
      </c>
      <c r="B663" s="5" t="inlineStr">
        <is>
          <t>[0005662] AVALON AVOTIN-A 0.05% CREAM 30G</t>
        </is>
      </c>
      <c r="C663" s="5" t="inlineStr">
        <is>
          <t>دواء</t>
        </is>
      </c>
      <c r="D663" s="13" t="inlineStr">
        <is>
          <t>06285095004650</t>
        </is>
      </c>
      <c r="E663" s="14">
        <f>L663-K663</f>
        <v/>
      </c>
      <c r="F663" s="14" t="n">
        <v>0</v>
      </c>
      <c r="G663" s="14">
        <f>F663-E663</f>
        <v/>
      </c>
      <c r="H663" s="7" t="n">
        <v>17.4</v>
      </c>
      <c r="I663" s="7">
        <f>G663*H663</f>
        <v/>
      </c>
      <c r="J663" s="16" t="inlineStr">
        <is>
          <t>لم يُجرد</t>
        </is>
      </c>
      <c r="K663" s="14" t="n">
        <v>0</v>
      </c>
      <c r="L663" s="14" t="n">
        <v>9</v>
      </c>
      <c r="M663" s="5" t="inlineStr"/>
      <c r="N663" s="5" t="inlineStr"/>
    </row>
    <row r="664">
      <c r="A664" s="13" t="inlineStr">
        <is>
          <t>00015011</t>
        </is>
      </c>
      <c r="B664" s="5" t="inlineStr">
        <is>
          <t>[00015011] PIXL GLOW TONIC 250 ML</t>
        </is>
      </c>
      <c r="C664" s="5" t="inlineStr">
        <is>
          <t>دواء</t>
        </is>
      </c>
      <c r="D664" s="13" t="inlineStr">
        <is>
          <t>885190821006</t>
        </is>
      </c>
      <c r="E664" s="14">
        <f>L664-K664</f>
        <v/>
      </c>
      <c r="F664" s="14" t="n">
        <v>0</v>
      </c>
      <c r="G664" s="14">
        <f>F664-E664</f>
        <v/>
      </c>
      <c r="H664" s="7" t="n">
        <v>86</v>
      </c>
      <c r="I664" s="7">
        <f>G664*H664</f>
        <v/>
      </c>
      <c r="J664" s="16" t="inlineStr">
        <is>
          <t>لم يُجرد</t>
        </is>
      </c>
      <c r="K664" s="14" t="n">
        <v>0</v>
      </c>
      <c r="L664" s="14" t="n">
        <v>2</v>
      </c>
      <c r="M664" s="5" t="inlineStr"/>
      <c r="N664" s="5" t="inlineStr"/>
    </row>
    <row r="665">
      <c r="A665" s="13" t="inlineStr">
        <is>
          <t>00024840</t>
        </is>
      </c>
      <c r="B665" s="5" t="inlineStr">
        <is>
          <t>[00024840] ENZO CREAM 60GM</t>
        </is>
      </c>
      <c r="C665" s="5" t="inlineStr">
        <is>
          <t>دواء</t>
        </is>
      </c>
      <c r="D665" s="13" t="inlineStr">
        <is>
          <t>6224010010031</t>
        </is>
      </c>
      <c r="E665" s="14">
        <f>L665-K665</f>
        <v/>
      </c>
      <c r="F665" s="14" t="n">
        <v>0</v>
      </c>
      <c r="G665" s="14">
        <f>F665-E665</f>
        <v/>
      </c>
      <c r="H665" s="7" t="n">
        <v>65</v>
      </c>
      <c r="I665" s="7">
        <f>G665*H665</f>
        <v/>
      </c>
      <c r="J665" s="16" t="inlineStr">
        <is>
          <t>لم يُجرد</t>
        </is>
      </c>
      <c r="K665" s="14" t="n">
        <v>0</v>
      </c>
      <c r="L665" s="14" t="n">
        <v>4</v>
      </c>
      <c r="M665" s="5" t="inlineStr"/>
      <c r="N665" s="5" t="inlineStr"/>
    </row>
    <row r="666">
      <c r="A666" s="13" t="inlineStr">
        <is>
          <t>0003993</t>
        </is>
      </c>
      <c r="B666" s="5" t="inlineStr">
        <is>
          <t>[0003993] ALFACORT 1% CREAM 15GM</t>
        </is>
      </c>
      <c r="C666" s="5" t="inlineStr">
        <is>
          <t>دواء</t>
        </is>
      </c>
      <c r="D666" s="13" t="inlineStr">
        <is>
          <t>06291100081059</t>
        </is>
      </c>
      <c r="E666" s="14">
        <f>L666-K666</f>
        <v/>
      </c>
      <c r="F666" s="14" t="n">
        <v>0</v>
      </c>
      <c r="G666" s="14">
        <f>F666-E666</f>
        <v/>
      </c>
      <c r="H666" s="7" t="n">
        <v>8.199999999999999</v>
      </c>
      <c r="I666" s="7">
        <f>G666*H666</f>
        <v/>
      </c>
      <c r="J666" s="16" t="inlineStr">
        <is>
          <t>لم يُجرد</t>
        </is>
      </c>
      <c r="K666" s="14" t="n">
        <v>0</v>
      </c>
      <c r="L666" s="14" t="n">
        <v>19</v>
      </c>
      <c r="M666" s="5" t="inlineStr"/>
      <c r="N666" s="5" t="inlineStr"/>
    </row>
    <row r="667">
      <c r="A667" s="13" t="inlineStr">
        <is>
          <t>00021496</t>
        </is>
      </c>
      <c r="B667" s="5" t="inlineStr">
        <is>
          <t>[00021496] ACCU CHEK INSTANT KIT MACHINE</t>
        </is>
      </c>
      <c r="C667" s="5" t="inlineStr">
        <is>
          <t>دواء</t>
        </is>
      </c>
      <c r="D667" s="13" t="inlineStr">
        <is>
          <t>4015630087990</t>
        </is>
      </c>
      <c r="E667" s="14">
        <f>L667-K667</f>
        <v/>
      </c>
      <c r="F667" s="14" t="n">
        <v>0</v>
      </c>
      <c r="G667" s="14">
        <f>F667-E667</f>
        <v/>
      </c>
      <c r="H667" s="7" t="n">
        <v>139</v>
      </c>
      <c r="I667" s="7">
        <f>G667*H667</f>
        <v/>
      </c>
      <c r="J667" s="16" t="inlineStr">
        <is>
          <t>لم يُجرد</t>
        </is>
      </c>
      <c r="K667" s="14" t="n">
        <v>0</v>
      </c>
      <c r="L667" s="14" t="n">
        <v>2</v>
      </c>
      <c r="M667" s="5" t="inlineStr"/>
      <c r="N667" s="5" t="inlineStr"/>
    </row>
    <row r="668">
      <c r="A668" s="13" t="inlineStr">
        <is>
          <t>00019114</t>
        </is>
      </c>
      <c r="B668" s="5" t="inlineStr">
        <is>
          <t>[00019114] ANIVAGENE EYE 5685 LASHES 10 ML 1+1 FREE</t>
        </is>
      </c>
      <c r="C668" s="5" t="inlineStr">
        <is>
          <t>دواء</t>
        </is>
      </c>
      <c r="D668" s="13" t="inlineStr">
        <is>
          <t>745178935685</t>
        </is>
      </c>
      <c r="E668" s="14">
        <f>L668-K668</f>
        <v/>
      </c>
      <c r="F668" s="14" t="n">
        <v>0</v>
      </c>
      <c r="G668" s="14">
        <f>F668-E668</f>
        <v/>
      </c>
      <c r="H668" s="7" t="n">
        <v>199</v>
      </c>
      <c r="I668" s="7">
        <f>G668*H668</f>
        <v/>
      </c>
      <c r="J668" s="16" t="inlineStr">
        <is>
          <t>لم يُجرد</t>
        </is>
      </c>
      <c r="K668" s="14" t="n">
        <v>0</v>
      </c>
      <c r="L668" s="14" t="n">
        <v>1</v>
      </c>
      <c r="M668" s="5" t="inlineStr"/>
      <c r="N668" s="5" t="inlineStr"/>
    </row>
    <row r="669">
      <c r="A669" s="13" t="inlineStr">
        <is>
          <t>00042972</t>
        </is>
      </c>
      <c r="B669" s="5" t="inlineStr">
        <is>
          <t>[00042972] LIPO ARAX 600MG 30 TAB 8032</t>
        </is>
      </c>
      <c r="C669" s="5" t="inlineStr">
        <is>
          <t>دواء</t>
        </is>
      </c>
      <c r="D669" s="13" t="inlineStr">
        <is>
          <t>6224009868032</t>
        </is>
      </c>
      <c r="E669" s="14">
        <f>L669-K669</f>
        <v/>
      </c>
      <c r="F669" s="14" t="n">
        <v>0</v>
      </c>
      <c r="G669" s="14">
        <f>F669-E669</f>
        <v/>
      </c>
      <c r="H669" s="7" t="n">
        <v>150</v>
      </c>
      <c r="I669" s="7">
        <f>G669*H669</f>
        <v/>
      </c>
      <c r="J669" s="16" t="inlineStr">
        <is>
          <t>لم يُجرد</t>
        </is>
      </c>
      <c r="K669" s="14" t="n">
        <v>0</v>
      </c>
      <c r="L669" s="14" t="n">
        <v>2</v>
      </c>
      <c r="M669" s="5" t="inlineStr"/>
      <c r="N669" s="5" t="inlineStr"/>
    </row>
    <row r="670">
      <c r="A670" s="13" t="inlineStr">
        <is>
          <t>0003829</t>
        </is>
      </c>
      <c r="B670" s="5" t="inlineStr">
        <is>
          <t>[0003829] FAMODAR 20MG 30 TAB WASFA</t>
        </is>
      </c>
      <c r="C670" s="5" t="inlineStr">
        <is>
          <t>دواء</t>
        </is>
      </c>
      <c r="D670" s="13" t="inlineStr"/>
      <c r="E670" s="14">
        <f>L670-K670</f>
        <v/>
      </c>
      <c r="F670" s="14" t="n">
        <v>0</v>
      </c>
      <c r="G670" s="14">
        <f>F670-E670</f>
        <v/>
      </c>
      <c r="H670" s="7" t="n">
        <v>38.68</v>
      </c>
      <c r="I670" s="7">
        <f>G670*H670</f>
        <v/>
      </c>
      <c r="J670" s="16" t="inlineStr">
        <is>
          <t>لم يُجرد</t>
        </is>
      </c>
      <c r="K670" s="14" t="n">
        <v>0</v>
      </c>
      <c r="L670" s="14" t="n">
        <v>4</v>
      </c>
      <c r="M670" s="5" t="inlineStr"/>
      <c r="N670" s="5" t="inlineStr"/>
    </row>
    <row r="671">
      <c r="A671" s="13" t="inlineStr">
        <is>
          <t>00042976</t>
        </is>
      </c>
      <c r="B671" s="5" t="inlineStr">
        <is>
          <t>[00042976] VERTEX 10 MG 28 TAB</t>
        </is>
      </c>
      <c r="C671" s="5" t="inlineStr">
        <is>
          <t>دواء</t>
        </is>
      </c>
      <c r="D671" s="13" t="inlineStr"/>
      <c r="E671" s="14">
        <f>L671-K671</f>
        <v/>
      </c>
      <c r="F671" s="14" t="n">
        <v>0</v>
      </c>
      <c r="G671" s="14">
        <f>F671-E671</f>
        <v/>
      </c>
      <c r="H671" s="7" t="n">
        <v>51.45</v>
      </c>
      <c r="I671" s="7">
        <f>G671*H671</f>
        <v/>
      </c>
      <c r="J671" s="16" t="inlineStr">
        <is>
          <t>لم يُجرد</t>
        </is>
      </c>
      <c r="K671" s="14" t="n">
        <v>0</v>
      </c>
      <c r="L671" s="14" t="n">
        <v>3</v>
      </c>
      <c r="M671" s="5" t="inlineStr"/>
      <c r="N671" s="5" t="inlineStr"/>
    </row>
    <row r="672">
      <c r="A672" s="13" t="inlineStr">
        <is>
          <t>0004176</t>
        </is>
      </c>
      <c r="B672" s="5" t="inlineStr">
        <is>
          <t>[0004176] DAKTACORT CREAM 15 GM</t>
        </is>
      </c>
      <c r="C672" s="5" t="inlineStr">
        <is>
          <t>دواء</t>
        </is>
      </c>
      <c r="D672" s="13" t="inlineStr"/>
      <c r="E672" s="14">
        <f>L672-K672</f>
        <v/>
      </c>
      <c r="F672" s="14" t="n">
        <v>0</v>
      </c>
      <c r="G672" s="14">
        <f>F672-E672</f>
        <v/>
      </c>
      <c r="H672" s="7" t="n">
        <v>11.95</v>
      </c>
      <c r="I672" s="7">
        <f>G672*H672</f>
        <v/>
      </c>
      <c r="J672" s="16" t="inlineStr">
        <is>
          <t>لم يُجرد</t>
        </is>
      </c>
      <c r="K672" s="14" t="n">
        <v>0</v>
      </c>
      <c r="L672" s="14" t="n">
        <v>13</v>
      </c>
      <c r="M672" s="5" t="inlineStr"/>
      <c r="N672" s="5" t="inlineStr"/>
    </row>
    <row r="673">
      <c r="A673" s="13" t="inlineStr">
        <is>
          <t>0004371</t>
        </is>
      </c>
      <c r="B673" s="5" t="inlineStr">
        <is>
          <t>[0004371] BRIMO-P OPTHA SOLUTION 5ML</t>
        </is>
      </c>
      <c r="C673" s="5" t="inlineStr">
        <is>
          <t>دواء</t>
        </is>
      </c>
      <c r="D673" s="13" t="inlineStr">
        <is>
          <t>06285128001045</t>
        </is>
      </c>
      <c r="E673" s="14">
        <f>L673-K673</f>
        <v/>
      </c>
      <c r="F673" s="14" t="n">
        <v>0</v>
      </c>
      <c r="G673" s="14">
        <f>F673-E673</f>
        <v/>
      </c>
      <c r="H673" s="7" t="n">
        <v>25.65</v>
      </c>
      <c r="I673" s="7">
        <f>G673*H673</f>
        <v/>
      </c>
      <c r="J673" s="16" t="inlineStr">
        <is>
          <t>لم يُجرد</t>
        </is>
      </c>
      <c r="K673" s="14" t="n">
        <v>0</v>
      </c>
      <c r="L673" s="14" t="n">
        <v>6</v>
      </c>
      <c r="M673" s="5" t="inlineStr"/>
      <c r="N673" s="5" t="inlineStr"/>
    </row>
    <row r="674">
      <c r="A674" s="13" t="inlineStr">
        <is>
          <t>0005339</t>
        </is>
      </c>
      <c r="B674" s="5" t="inlineStr">
        <is>
          <t>[0005339] OPTIFLOX EYE DROPS 5 ML</t>
        </is>
      </c>
      <c r="C674" s="5" t="inlineStr">
        <is>
          <t>دواء</t>
        </is>
      </c>
      <c r="D674" s="13" t="inlineStr">
        <is>
          <t>06285128000673</t>
        </is>
      </c>
      <c r="E674" s="14">
        <f>L674-K674</f>
        <v/>
      </c>
      <c r="F674" s="14" t="n">
        <v>0</v>
      </c>
      <c r="G674" s="14">
        <f>F674-E674</f>
        <v/>
      </c>
      <c r="H674" s="7" t="n">
        <v>12.8</v>
      </c>
      <c r="I674" s="7">
        <f>G674*H674</f>
        <v/>
      </c>
      <c r="J674" s="16" t="inlineStr">
        <is>
          <t>لم يُجرد</t>
        </is>
      </c>
      <c r="K674" s="14" t="n">
        <v>0</v>
      </c>
      <c r="L674" s="14" t="n">
        <v>12</v>
      </c>
      <c r="M674" s="5" t="inlineStr"/>
      <c r="N674" s="5" t="inlineStr"/>
    </row>
    <row r="675">
      <c r="A675" s="13" t="inlineStr">
        <is>
          <t>0005853</t>
        </is>
      </c>
      <c r="B675" s="5" t="inlineStr">
        <is>
          <t>[0005853] AVALON AVOCOM 1% 30GM CREAM</t>
        </is>
      </c>
      <c r="C675" s="5" t="inlineStr">
        <is>
          <t>دواء</t>
        </is>
      </c>
      <c r="D675" s="13" t="inlineStr">
        <is>
          <t>06285095004636</t>
        </is>
      </c>
      <c r="E675" s="14">
        <f>L675-K675</f>
        <v/>
      </c>
      <c r="F675" s="14" t="n">
        <v>0</v>
      </c>
      <c r="G675" s="14">
        <f>F675-E675</f>
        <v/>
      </c>
      <c r="H675" s="7" t="n">
        <v>16.95</v>
      </c>
      <c r="I675" s="7">
        <f>G675*H675</f>
        <v/>
      </c>
      <c r="J675" s="16" t="inlineStr">
        <is>
          <t>لم يُجرد</t>
        </is>
      </c>
      <c r="K675" s="14" t="n">
        <v>0</v>
      </c>
      <c r="L675" s="14" t="n">
        <v>9</v>
      </c>
      <c r="M675" s="5" t="inlineStr"/>
      <c r="N675" s="5" t="inlineStr"/>
    </row>
    <row r="676">
      <c r="A676" s="13" t="inlineStr">
        <is>
          <t>0003621</t>
        </is>
      </c>
      <c r="B676" s="5" t="inlineStr">
        <is>
          <t>[0003621] FOLIC ACID 1MG 20TAB</t>
        </is>
      </c>
      <c r="C676" s="5" t="inlineStr">
        <is>
          <t>دواء</t>
        </is>
      </c>
      <c r="D676" s="13" t="inlineStr">
        <is>
          <t>06281080011252</t>
        </is>
      </c>
      <c r="E676" s="14">
        <f>L676-K676</f>
        <v/>
      </c>
      <c r="F676" s="14" t="n">
        <v>0</v>
      </c>
      <c r="G676" s="14">
        <f>F676-E676</f>
        <v/>
      </c>
      <c r="H676" s="7" t="n">
        <v>6.9</v>
      </c>
      <c r="I676" s="7">
        <f>G676*H676</f>
        <v/>
      </c>
      <c r="J676" s="16" t="inlineStr">
        <is>
          <t>لم يُجرد</t>
        </is>
      </c>
      <c r="K676" s="14" t="n">
        <v>0</v>
      </c>
      <c r="L676" s="14" t="n">
        <v>25</v>
      </c>
      <c r="M676" s="5" t="inlineStr"/>
      <c r="N676" s="5" t="inlineStr"/>
    </row>
    <row r="677">
      <c r="A677" s="13" t="inlineStr">
        <is>
          <t>00019993</t>
        </is>
      </c>
      <c r="B677" s="5" t="inlineStr">
        <is>
          <t>[00019993] RECUGEL EYE GEL</t>
        </is>
      </c>
      <c r="C677" s="5" t="inlineStr">
        <is>
          <t>دواء</t>
        </is>
      </c>
      <c r="D677" s="13" t="inlineStr">
        <is>
          <t>4030571003854</t>
        </is>
      </c>
      <c r="E677" s="14">
        <f>L677-K677</f>
        <v/>
      </c>
      <c r="F677" s="14" t="n">
        <v>0</v>
      </c>
      <c r="G677" s="14">
        <f>F677-E677</f>
        <v/>
      </c>
      <c r="H677" s="7" t="n">
        <v>30.5</v>
      </c>
      <c r="I677" s="7">
        <f>G677*H677</f>
        <v/>
      </c>
      <c r="J677" s="16" t="inlineStr">
        <is>
          <t>لم يُجرد</t>
        </is>
      </c>
      <c r="K677" s="14" t="n">
        <v>0</v>
      </c>
      <c r="L677" s="14" t="n">
        <v>5</v>
      </c>
      <c r="M677" s="5" t="inlineStr"/>
      <c r="N677" s="5" t="inlineStr"/>
    </row>
    <row r="678">
      <c r="A678" s="13" t="inlineStr">
        <is>
          <t>00041528</t>
        </is>
      </c>
      <c r="B678" s="5" t="inlineStr">
        <is>
          <t>[00041528] PANTOVER 40MG 30TAB</t>
        </is>
      </c>
      <c r="C678" s="5" t="inlineStr">
        <is>
          <t>دواء</t>
        </is>
      </c>
      <c r="D678" s="13" t="inlineStr"/>
      <c r="E678" s="14">
        <f>L678-K678</f>
        <v/>
      </c>
      <c r="F678" s="14" t="n">
        <v>0</v>
      </c>
      <c r="G678" s="14">
        <f>F678-E678</f>
        <v/>
      </c>
      <c r="H678" s="7" t="n">
        <v>50.8</v>
      </c>
      <c r="I678" s="7">
        <f>G678*H678</f>
        <v/>
      </c>
      <c r="J678" s="16" t="inlineStr">
        <is>
          <t>لم يُجرد</t>
        </is>
      </c>
      <c r="K678" s="14" t="n">
        <v>0</v>
      </c>
      <c r="L678" s="14" t="n">
        <v>3</v>
      </c>
      <c r="M678" s="5" t="inlineStr"/>
      <c r="N678" s="5" t="inlineStr"/>
    </row>
    <row r="679">
      <c r="A679" s="13" t="inlineStr">
        <is>
          <t>00021660</t>
        </is>
      </c>
      <c r="B679" s="5" t="inlineStr">
        <is>
          <t>[00021660] BONDEX 30 CHEWAB TAB 1158</t>
        </is>
      </c>
      <c r="C679" s="5" t="inlineStr">
        <is>
          <t>دواء</t>
        </is>
      </c>
      <c r="D679" s="13" t="inlineStr">
        <is>
          <t>6285343001158</t>
        </is>
      </c>
      <c r="E679" s="14">
        <f>L679-K679</f>
        <v/>
      </c>
      <c r="F679" s="14" t="n">
        <v>0</v>
      </c>
      <c r="G679" s="14">
        <f>F679-E679</f>
        <v/>
      </c>
      <c r="H679" s="7" t="n">
        <v>59</v>
      </c>
      <c r="I679" s="7">
        <f>G679*H679</f>
        <v/>
      </c>
      <c r="J679" s="16" t="inlineStr">
        <is>
          <t>لم يُجرد</t>
        </is>
      </c>
      <c r="K679" s="14" t="n">
        <v>0</v>
      </c>
      <c r="L679" s="14" t="n">
        <v>5</v>
      </c>
      <c r="M679" s="5" t="inlineStr"/>
      <c r="N679" s="5" t="inlineStr"/>
    </row>
    <row r="680">
      <c r="A680" s="13" t="inlineStr">
        <is>
          <t>00022846</t>
        </is>
      </c>
      <c r="B680" s="5" t="inlineStr">
        <is>
          <t>[00022846] AVALON HAIRPAN SPRAY 140ML</t>
        </is>
      </c>
      <c r="C680" s="5" t="inlineStr">
        <is>
          <t>دواء</t>
        </is>
      </c>
      <c r="D680" s="13" t="inlineStr">
        <is>
          <t>06285095010613</t>
        </is>
      </c>
      <c r="E680" s="14">
        <f>L680-K680</f>
        <v/>
      </c>
      <c r="F680" s="14" t="n">
        <v>0</v>
      </c>
      <c r="G680" s="14">
        <f>F680-E680</f>
        <v/>
      </c>
      <c r="H680" s="7" t="n">
        <v>110</v>
      </c>
      <c r="I680" s="7">
        <f>G680*H680</f>
        <v/>
      </c>
      <c r="J680" s="16" t="inlineStr">
        <is>
          <t>لم يُجرد</t>
        </is>
      </c>
      <c r="K680" s="14" t="n">
        <v>0</v>
      </c>
      <c r="L680" s="14" t="n">
        <v>3</v>
      </c>
      <c r="M680" s="5" t="inlineStr"/>
      <c r="N680" s="5" t="inlineStr"/>
    </row>
    <row r="681">
      <c r="A681" s="13" t="inlineStr">
        <is>
          <t>00041318</t>
        </is>
      </c>
      <c r="B681" s="5" t="inlineStr">
        <is>
          <t>[00041318] JALOWDEX 30TAB 7573</t>
        </is>
      </c>
      <c r="C681" s="5" t="inlineStr">
        <is>
          <t>دواء</t>
        </is>
      </c>
      <c r="D681" s="13" t="inlineStr">
        <is>
          <t>0748515537573</t>
        </is>
      </c>
      <c r="E681" s="14">
        <f>L681-K681</f>
        <v/>
      </c>
      <c r="F681" s="14" t="n">
        <v>0</v>
      </c>
      <c r="G681" s="14">
        <f>F681-E681</f>
        <v/>
      </c>
      <c r="H681" s="7" t="n">
        <v>98</v>
      </c>
      <c r="I681" s="7">
        <f>G681*H681</f>
        <v/>
      </c>
      <c r="J681" s="16" t="inlineStr">
        <is>
          <t>لم يُجرد</t>
        </is>
      </c>
      <c r="K681" s="14" t="n">
        <v>0</v>
      </c>
      <c r="L681" s="14" t="n">
        <v>3</v>
      </c>
      <c r="M681" s="5" t="inlineStr"/>
      <c r="N681" s="5" t="inlineStr"/>
    </row>
    <row r="682">
      <c r="A682" s="13" t="inlineStr">
        <is>
          <t>00019775</t>
        </is>
      </c>
      <c r="B682" s="5" t="inlineStr">
        <is>
          <t>[00019775] PJUR MED PREMIUM7086 GLIDE 100ML</t>
        </is>
      </c>
      <c r="C682" s="5" t="inlineStr">
        <is>
          <t>دواء</t>
        </is>
      </c>
      <c r="D682" s="13" t="inlineStr">
        <is>
          <t>0827160107086</t>
        </is>
      </c>
      <c r="E682" s="14">
        <f>L682-K682</f>
        <v/>
      </c>
      <c r="F682" s="14" t="n">
        <v>0</v>
      </c>
      <c r="G682" s="14">
        <f>F682-E682</f>
        <v/>
      </c>
      <c r="H682" s="7" t="n">
        <v>125.35</v>
      </c>
      <c r="I682" s="7">
        <f>G682*H682</f>
        <v/>
      </c>
      <c r="J682" s="16" t="inlineStr">
        <is>
          <t>لم يُجرد</t>
        </is>
      </c>
      <c r="K682" s="14" t="n">
        <v>0</v>
      </c>
      <c r="L682" s="14" t="n">
        <v>2</v>
      </c>
      <c r="M682" s="5" t="inlineStr"/>
      <c r="N682" s="5" t="inlineStr"/>
    </row>
    <row r="683">
      <c r="A683" s="13" t="inlineStr">
        <is>
          <t>0005344</t>
        </is>
      </c>
      <c r="B683" s="5" t="inlineStr">
        <is>
          <t>[0005344] OPTILONE 0.1% DROPS 5ML</t>
        </is>
      </c>
      <c r="C683" s="5" t="inlineStr">
        <is>
          <t>دواء</t>
        </is>
      </c>
      <c r="D683" s="13" t="inlineStr"/>
      <c r="E683" s="14">
        <f>L683-K683</f>
        <v/>
      </c>
      <c r="F683" s="14" t="n">
        <v>0</v>
      </c>
      <c r="G683" s="14">
        <f>F683-E683</f>
        <v/>
      </c>
      <c r="H683" s="7" t="n">
        <v>13.75</v>
      </c>
      <c r="I683" s="7">
        <f>G683*H683</f>
        <v/>
      </c>
      <c r="J683" s="16" t="inlineStr">
        <is>
          <t>لم يُجرد</t>
        </is>
      </c>
      <c r="K683" s="14" t="n">
        <v>0</v>
      </c>
      <c r="L683" s="14" t="n">
        <v>11</v>
      </c>
      <c r="M683" s="5" t="inlineStr"/>
      <c r="N683" s="5" t="inlineStr"/>
    </row>
    <row r="684">
      <c r="A684" s="13" t="inlineStr">
        <is>
          <t>00033918</t>
        </is>
      </c>
      <c r="B684" s="5" t="inlineStr">
        <is>
          <t>[00033918] RHINO DEX N YELLOW SPRAY</t>
        </is>
      </c>
      <c r="C684" s="5" t="inlineStr">
        <is>
          <t>دواء</t>
        </is>
      </c>
      <c r="D684" s="13" t="inlineStr"/>
      <c r="E684" s="14">
        <f>L684-K684</f>
        <v/>
      </c>
      <c r="F684" s="14" t="n">
        <v>0</v>
      </c>
      <c r="G684" s="14">
        <f>F684-E684</f>
        <v/>
      </c>
      <c r="H684" s="7" t="n">
        <v>63</v>
      </c>
      <c r="I684" s="7">
        <f>G684*H684</f>
        <v/>
      </c>
      <c r="J684" s="16" t="inlineStr">
        <is>
          <t>لم يُجرد</t>
        </is>
      </c>
      <c r="K684" s="14" t="n">
        <v>0</v>
      </c>
      <c r="L684" s="14" t="n">
        <v>4</v>
      </c>
      <c r="M684" s="5" t="inlineStr"/>
      <c r="N684" s="5" t="inlineStr"/>
    </row>
    <row r="685">
      <c r="A685" s="13" t="inlineStr">
        <is>
          <t>00037935</t>
        </is>
      </c>
      <c r="B685" s="5" t="inlineStr">
        <is>
          <t>[00037935] ARAXCHOLINE 100ML SYP</t>
        </is>
      </c>
      <c r="C685" s="5" t="inlineStr">
        <is>
          <t>دواء</t>
        </is>
      </c>
      <c r="D685" s="13" t="inlineStr"/>
      <c r="E685" s="14">
        <f>L685-K685</f>
        <v/>
      </c>
      <c r="F685" s="14" t="n">
        <v>0</v>
      </c>
      <c r="G685" s="14">
        <f>F685-E685</f>
        <v/>
      </c>
      <c r="H685" s="7" t="n">
        <v>90</v>
      </c>
      <c r="I685" s="7">
        <f>G685*H685</f>
        <v/>
      </c>
      <c r="J685" s="16" t="inlineStr">
        <is>
          <t>لم يُجرد</t>
        </is>
      </c>
      <c r="K685" s="14" t="n">
        <v>0</v>
      </c>
      <c r="L685" s="14" t="n">
        <v>2</v>
      </c>
      <c r="M685" s="5" t="inlineStr"/>
      <c r="N685" s="5" t="inlineStr"/>
    </row>
    <row r="686">
      <c r="A686" s="13" t="inlineStr">
        <is>
          <t>0003986</t>
        </is>
      </c>
      <c r="B686" s="5" t="inlineStr">
        <is>
          <t>[0003986] DEWAX EAR DROPS 10ML</t>
        </is>
      </c>
      <c r="C686" s="5" t="inlineStr">
        <is>
          <t>دواء</t>
        </is>
      </c>
      <c r="D686" s="13" t="inlineStr">
        <is>
          <t>06251151000331</t>
        </is>
      </c>
      <c r="E686" s="14">
        <f>L686-K686</f>
        <v/>
      </c>
      <c r="F686" s="14" t="n">
        <v>0</v>
      </c>
      <c r="G686" s="14">
        <f>F686-E686</f>
        <v/>
      </c>
      <c r="H686" s="7" t="n">
        <v>6.45</v>
      </c>
      <c r="I686" s="7">
        <f>G686*H686</f>
        <v/>
      </c>
      <c r="J686" s="16" t="inlineStr">
        <is>
          <t>لم يُجرد</t>
        </is>
      </c>
      <c r="K686" s="14" t="n">
        <v>0</v>
      </c>
      <c r="L686" s="14" t="n">
        <v>24</v>
      </c>
      <c r="M686" s="5" t="inlineStr"/>
      <c r="N686" s="5" t="inlineStr"/>
    </row>
    <row r="687">
      <c r="A687" s="13" t="inlineStr">
        <is>
          <t>00047672</t>
        </is>
      </c>
      <c r="B687" s="5" t="inlineStr">
        <is>
          <t>[00047672] FLEXA 60 TAB 5618</t>
        </is>
      </c>
      <c r="C687" s="5" t="inlineStr">
        <is>
          <t>دواء</t>
        </is>
      </c>
      <c r="D687" s="13" t="inlineStr">
        <is>
          <t>00727252505618</t>
        </is>
      </c>
      <c r="E687" s="14">
        <f>L687-K687</f>
        <v/>
      </c>
      <c r="F687" s="14" t="n">
        <v>0</v>
      </c>
      <c r="G687" s="14">
        <f>F687-E687</f>
        <v/>
      </c>
      <c r="H687" s="7" t="n">
        <v>150</v>
      </c>
      <c r="I687" s="7">
        <f>G687*H687</f>
        <v/>
      </c>
      <c r="J687" s="16" t="inlineStr">
        <is>
          <t>لم يُجرد</t>
        </is>
      </c>
      <c r="K687" s="14" t="n">
        <v>0</v>
      </c>
      <c r="L687" s="14" t="n">
        <v>2</v>
      </c>
      <c r="M687" s="5" t="inlineStr"/>
      <c r="N687" s="5" t="inlineStr"/>
    </row>
    <row r="688">
      <c r="A688" s="13" t="inlineStr">
        <is>
          <t>0003927</t>
        </is>
      </c>
      <c r="B688" s="5" t="inlineStr">
        <is>
          <t>[0003927] DESLOR 5MG 20TAB</t>
        </is>
      </c>
      <c r="C688" s="5" t="inlineStr">
        <is>
          <t>دواء</t>
        </is>
      </c>
      <c r="D688" s="13" t="inlineStr">
        <is>
          <t>06285128000987</t>
        </is>
      </c>
      <c r="E688" s="14">
        <f>L688-K688</f>
        <v/>
      </c>
      <c r="F688" s="14" t="n">
        <v>0</v>
      </c>
      <c r="G688" s="14">
        <f>F688-E688</f>
        <v/>
      </c>
      <c r="H688" s="7" t="n">
        <v>23.3</v>
      </c>
      <c r="I688" s="7">
        <f>G688*H688</f>
        <v/>
      </c>
      <c r="J688" s="16" t="inlineStr">
        <is>
          <t>لم يُجرد</t>
        </is>
      </c>
      <c r="K688" s="14" t="n">
        <v>0</v>
      </c>
      <c r="L688" s="14" t="n">
        <v>10</v>
      </c>
      <c r="M688" s="5" t="inlineStr"/>
      <c r="N688" s="5" t="inlineStr"/>
    </row>
    <row r="689">
      <c r="A689" s="13" t="inlineStr">
        <is>
          <t>00027808</t>
        </is>
      </c>
      <c r="B689" s="5" t="inlineStr">
        <is>
          <t>[00027808] PENETRO 10MG TAB</t>
        </is>
      </c>
      <c r="C689" s="5" t="inlineStr">
        <is>
          <t>دواء</t>
        </is>
      </c>
      <c r="D689" s="13" t="inlineStr"/>
      <c r="E689" s="14">
        <f>L689-K689</f>
        <v/>
      </c>
      <c r="F689" s="14" t="n">
        <v>0</v>
      </c>
      <c r="G689" s="14">
        <f>F689-E689</f>
        <v/>
      </c>
      <c r="H689" s="7" t="n">
        <v>53.95</v>
      </c>
      <c r="I689" s="7">
        <f>G689*H689</f>
        <v/>
      </c>
      <c r="J689" s="16" t="inlineStr">
        <is>
          <t>لم يُجرد</t>
        </is>
      </c>
      <c r="K689" s="14" t="n">
        <v>0</v>
      </c>
      <c r="L689" s="14" t="n">
        <v>7</v>
      </c>
      <c r="M689" s="5" t="inlineStr"/>
      <c r="N689" s="5" t="inlineStr"/>
    </row>
    <row r="690">
      <c r="A690" s="13" t="inlineStr">
        <is>
          <t>00020428</t>
        </is>
      </c>
      <c r="B690" s="5" t="inlineStr">
        <is>
          <t>[00020428] JP BABY TWIST D3 400IU CAP</t>
        </is>
      </c>
      <c r="C690" s="5" t="inlineStr">
        <is>
          <t>دواء</t>
        </is>
      </c>
      <c r="D690" s="13" t="inlineStr"/>
      <c r="E690" s="14">
        <f>L690-K690</f>
        <v/>
      </c>
      <c r="F690" s="14" t="n">
        <v>0</v>
      </c>
      <c r="G690" s="14">
        <f>F690-E690</f>
        <v/>
      </c>
      <c r="H690" s="7" t="n">
        <v>30</v>
      </c>
      <c r="I690" s="7">
        <f>G690*H690</f>
        <v/>
      </c>
      <c r="J690" s="16" t="inlineStr">
        <is>
          <t>لم يُجرد</t>
        </is>
      </c>
      <c r="K690" s="14" t="n">
        <v>0</v>
      </c>
      <c r="L690" s="14" t="n">
        <v>5</v>
      </c>
      <c r="M690" s="5" t="inlineStr"/>
      <c r="N690" s="5" t="inlineStr"/>
    </row>
    <row r="691">
      <c r="A691" s="13" t="inlineStr">
        <is>
          <t>00031059</t>
        </is>
      </c>
      <c r="B691" s="5" t="inlineStr">
        <is>
          <t>[00031059] IMMUMED 14 SACHETS</t>
        </is>
      </c>
      <c r="C691" s="5" t="inlineStr">
        <is>
          <t>دواء</t>
        </is>
      </c>
      <c r="D691" s="13" t="inlineStr"/>
      <c r="E691" s="14">
        <f>L691-K691</f>
        <v/>
      </c>
      <c r="F691" s="14" t="n">
        <v>0</v>
      </c>
      <c r="G691" s="14">
        <f>F691-E691</f>
        <v/>
      </c>
      <c r="H691" s="7" t="n">
        <v>73.40000000000001</v>
      </c>
      <c r="I691" s="7">
        <f>G691*H691</f>
        <v/>
      </c>
      <c r="J691" s="16" t="inlineStr">
        <is>
          <t>لم يُجرد</t>
        </is>
      </c>
      <c r="K691" s="14" t="n">
        <v>0</v>
      </c>
      <c r="L691" s="14" t="n">
        <v>2</v>
      </c>
      <c r="M691" s="5" t="inlineStr"/>
      <c r="N691" s="5" t="inlineStr"/>
    </row>
    <row r="692">
      <c r="A692" s="13" t="inlineStr">
        <is>
          <t>00021355</t>
        </is>
      </c>
      <c r="B692" s="5" t="inlineStr">
        <is>
          <t>[00021355] AMYDRAMINE PAEDIATRIC 120ML SYRUP</t>
        </is>
      </c>
      <c r="C692" s="5" t="inlineStr">
        <is>
          <t>دواء</t>
        </is>
      </c>
      <c r="D692" s="13" t="inlineStr">
        <is>
          <t>06291100080274</t>
        </is>
      </c>
      <c r="E692" s="14">
        <f>L692-K692</f>
        <v/>
      </c>
      <c r="F692" s="14" t="n">
        <v>0</v>
      </c>
      <c r="G692" s="14">
        <f>F692-E692</f>
        <v/>
      </c>
      <c r="H692" s="7" t="n">
        <v>5.15</v>
      </c>
      <c r="I692" s="7">
        <f>G692*H692</f>
        <v/>
      </c>
      <c r="J692" s="16" t="inlineStr">
        <is>
          <t>لم يُجرد</t>
        </is>
      </c>
      <c r="K692" s="14" t="n">
        <v>0</v>
      </c>
      <c r="L692" s="14" t="n">
        <v>29</v>
      </c>
      <c r="M692" s="5" t="inlineStr"/>
      <c r="N692" s="5" t="inlineStr"/>
    </row>
    <row r="693">
      <c r="A693" s="13" t="inlineStr">
        <is>
          <t>0004294</t>
        </is>
      </c>
      <c r="B693" s="5" t="inlineStr">
        <is>
          <t>[0004294] CLAVODAR 625MG 20TAB</t>
        </is>
      </c>
      <c r="C693" s="5" t="inlineStr">
        <is>
          <t>دواء</t>
        </is>
      </c>
      <c r="D693" s="13" t="inlineStr">
        <is>
          <t>06251107239020</t>
        </is>
      </c>
      <c r="E693" s="14">
        <f>L693-K693</f>
        <v/>
      </c>
      <c r="F693" s="14" t="n">
        <v>0</v>
      </c>
      <c r="G693" s="14">
        <f>F693-E693</f>
        <v/>
      </c>
      <c r="H693" s="7" t="n">
        <v>24.8</v>
      </c>
      <c r="I693" s="7">
        <f>G693*H693</f>
        <v/>
      </c>
      <c r="J693" s="16" t="inlineStr">
        <is>
          <t>لم يُجرد</t>
        </is>
      </c>
      <c r="K693" s="14" t="n">
        <v>0</v>
      </c>
      <c r="L693" s="14" t="n">
        <v>6</v>
      </c>
      <c r="M693" s="5" t="inlineStr"/>
      <c r="N693" s="5" t="inlineStr"/>
    </row>
    <row r="694">
      <c r="A694" s="13" t="inlineStr">
        <is>
          <t>0004588</t>
        </is>
      </c>
      <c r="B694" s="5" t="inlineStr">
        <is>
          <t>[0004588] XOLA E.DROP 5ML******</t>
        </is>
      </c>
      <c r="C694" s="5" t="inlineStr">
        <is>
          <t>دواء</t>
        </is>
      </c>
      <c r="D694" s="13" t="inlineStr">
        <is>
          <t>010628512800091810UK</t>
        </is>
      </c>
      <c r="E694" s="14">
        <f>L694-K694</f>
        <v/>
      </c>
      <c r="F694" s="14" t="n">
        <v>0</v>
      </c>
      <c r="G694" s="14">
        <f>F694-E694</f>
        <v/>
      </c>
      <c r="H694" s="7" t="n">
        <v>37</v>
      </c>
      <c r="I694" s="7">
        <f>G694*H694</f>
        <v/>
      </c>
      <c r="J694" s="16" t="inlineStr">
        <is>
          <t>لم يُجرد</t>
        </is>
      </c>
      <c r="K694" s="14" t="n">
        <v>0</v>
      </c>
      <c r="L694" s="14" t="n">
        <v>4</v>
      </c>
      <c r="M694" s="5" t="inlineStr"/>
      <c r="N694" s="5" t="inlineStr"/>
    </row>
    <row r="695">
      <c r="A695" s="13" t="inlineStr">
        <is>
          <t>0005030</t>
        </is>
      </c>
      <c r="B695" s="5" t="inlineStr">
        <is>
          <t>[0005030] KEPPRA 500MG 30TAB</t>
        </is>
      </c>
      <c r="C695" s="5" t="inlineStr">
        <is>
          <t>دواء</t>
        </is>
      </c>
      <c r="D695" s="13" t="inlineStr">
        <is>
          <t>01062850960006751720</t>
        </is>
      </c>
      <c r="E695" s="14">
        <f>L695-K695</f>
        <v/>
      </c>
      <c r="F695" s="14" t="n">
        <v>0</v>
      </c>
      <c r="G695" s="14">
        <f>F695-E695</f>
        <v/>
      </c>
      <c r="H695" s="7" t="n">
        <v>141.7</v>
      </c>
      <c r="I695" s="7">
        <f>G695*H695</f>
        <v/>
      </c>
      <c r="J695" s="16" t="inlineStr">
        <is>
          <t>لم يُجرد</t>
        </is>
      </c>
      <c r="K695" s="14" t="n">
        <v>0</v>
      </c>
      <c r="L695" s="14" t="n">
        <v>1</v>
      </c>
      <c r="M695" s="5" t="inlineStr"/>
      <c r="N695" s="5" t="inlineStr"/>
    </row>
    <row r="696">
      <c r="A696" s="13" t="inlineStr">
        <is>
          <t>0003465</t>
        </is>
      </c>
      <c r="B696" s="5" t="inlineStr">
        <is>
          <t>[0003465] ARCOXIA 60MG 28 TAB</t>
        </is>
      </c>
      <c r="C696" s="5" t="inlineStr">
        <is>
          <t>دواء</t>
        </is>
      </c>
      <c r="D696" s="13" t="inlineStr">
        <is>
          <t>00840164526165</t>
        </is>
      </c>
      <c r="E696" s="14">
        <f>L696-K696</f>
        <v/>
      </c>
      <c r="F696" s="14" t="n">
        <v>0</v>
      </c>
      <c r="G696" s="14">
        <f>F696-E696</f>
        <v/>
      </c>
      <c r="H696" s="7" t="n">
        <v>70.7</v>
      </c>
      <c r="I696" s="7">
        <f>G696*H696</f>
        <v/>
      </c>
      <c r="J696" s="16" t="inlineStr">
        <is>
          <t>لم يُجرد</t>
        </is>
      </c>
      <c r="K696" s="14" t="n">
        <v>0</v>
      </c>
      <c r="L696" s="14" t="n">
        <v>2</v>
      </c>
      <c r="M696" s="5" t="inlineStr"/>
      <c r="N696" s="5" t="inlineStr"/>
    </row>
    <row r="697">
      <c r="A697" s="13" t="inlineStr">
        <is>
          <t>0004761</t>
        </is>
      </c>
      <c r="B697" s="5" t="inlineStr">
        <is>
          <t>[0004761] TABIFLEX COOL GEL 50 GM WASFA</t>
        </is>
      </c>
      <c r="C697" s="5" t="inlineStr">
        <is>
          <t>دواء</t>
        </is>
      </c>
      <c r="D697" s="13" t="inlineStr">
        <is>
          <t>6285147004409</t>
        </is>
      </c>
      <c r="E697" s="14">
        <f>L697-K697</f>
        <v/>
      </c>
      <c r="F697" s="14" t="n">
        <v>0</v>
      </c>
      <c r="G697" s="14">
        <f>F697-E697</f>
        <v/>
      </c>
      <c r="H697" s="7" t="n">
        <v>13.45</v>
      </c>
      <c r="I697" s="7">
        <f>G697*H697</f>
        <v/>
      </c>
      <c r="J697" s="16" t="inlineStr">
        <is>
          <t>لم يُجرد</t>
        </is>
      </c>
      <c r="K697" s="14" t="n">
        <v>0</v>
      </c>
      <c r="L697" s="14" t="n">
        <v>11</v>
      </c>
      <c r="M697" s="5" t="inlineStr"/>
      <c r="N697" s="5" t="inlineStr"/>
    </row>
    <row r="698">
      <c r="A698" s="13" t="inlineStr">
        <is>
          <t>00045990</t>
        </is>
      </c>
      <c r="B698" s="5" t="inlineStr">
        <is>
          <t>[00045990] SITAVIC 50/1000MG 56TAB</t>
        </is>
      </c>
      <c r="C698" s="5" t="inlineStr">
        <is>
          <t>دواء</t>
        </is>
      </c>
      <c r="D698" s="13" t="inlineStr"/>
      <c r="E698" s="14">
        <f>L698-K698</f>
        <v/>
      </c>
      <c r="F698" s="14" t="n">
        <v>0</v>
      </c>
      <c r="G698" s="14">
        <f>F698-E698</f>
        <v/>
      </c>
      <c r="H698" s="7" t="n">
        <v>91.2</v>
      </c>
      <c r="I698" s="7">
        <f>G698*H698</f>
        <v/>
      </c>
      <c r="J698" s="16" t="inlineStr">
        <is>
          <t>لم يُجرد</t>
        </is>
      </c>
      <c r="K698" s="14" t="n">
        <v>0</v>
      </c>
      <c r="L698" s="14" t="n">
        <v>2</v>
      </c>
      <c r="M698" s="5" t="inlineStr"/>
      <c r="N698" s="5" t="inlineStr"/>
    </row>
    <row r="699">
      <c r="A699" s="13" t="inlineStr">
        <is>
          <t>0005614</t>
        </is>
      </c>
      <c r="B699" s="5" t="inlineStr">
        <is>
          <t>[0005614] MAGNACEF 100MG SUSP 60ML</t>
        </is>
      </c>
      <c r="C699" s="5" t="inlineStr">
        <is>
          <t>دواء</t>
        </is>
      </c>
      <c r="D699" s="13" t="inlineStr">
        <is>
          <t>GTIN:06251148010671E</t>
        </is>
      </c>
      <c r="E699" s="14">
        <f>L699-K699</f>
        <v/>
      </c>
      <c r="F699" s="14" t="n">
        <v>0</v>
      </c>
      <c r="G699" s="14">
        <f>F699-E699</f>
        <v/>
      </c>
      <c r="H699" s="7" t="n">
        <v>36.6</v>
      </c>
      <c r="I699" s="7">
        <f>G699*H699</f>
        <v/>
      </c>
      <c r="J699" s="16" t="inlineStr">
        <is>
          <t>لم يُجرد</t>
        </is>
      </c>
      <c r="K699" s="14" t="n">
        <v>0</v>
      </c>
      <c r="L699" s="14" t="n">
        <v>4</v>
      </c>
      <c r="M699" s="5" t="inlineStr"/>
      <c r="N699" s="5" t="inlineStr"/>
    </row>
    <row r="700">
      <c r="A700" s="13" t="inlineStr">
        <is>
          <t>00044346</t>
        </is>
      </c>
      <c r="B700" s="5" t="inlineStr">
        <is>
          <t>[00044346] FEROSOM FORTE 20 CAP 2282</t>
        </is>
      </c>
      <c r="C700" s="5" t="inlineStr">
        <is>
          <t>دواء</t>
        </is>
      </c>
      <c r="D700" s="13" t="inlineStr">
        <is>
          <t>628055192282</t>
        </is>
      </c>
      <c r="E700" s="14">
        <f>L700-K700</f>
        <v/>
      </c>
      <c r="F700" s="14" t="n">
        <v>0</v>
      </c>
      <c r="G700" s="14">
        <f>F700-E700</f>
        <v/>
      </c>
      <c r="H700" s="7" t="n">
        <v>139</v>
      </c>
      <c r="I700" s="7">
        <f>G700*H700</f>
        <v/>
      </c>
      <c r="J700" s="16" t="inlineStr">
        <is>
          <t>لم يُجرد</t>
        </is>
      </c>
      <c r="K700" s="14" t="n">
        <v>0</v>
      </c>
      <c r="L700" s="14" t="n">
        <v>2</v>
      </c>
      <c r="M700" s="5" t="inlineStr"/>
      <c r="N700" s="5" t="inlineStr"/>
    </row>
    <row r="701">
      <c r="A701" s="13" t="inlineStr">
        <is>
          <t>00034846</t>
        </is>
      </c>
      <c r="B701" s="5" t="inlineStr">
        <is>
          <t>[00034846] SITAGEN 100MG 30 TAB</t>
        </is>
      </c>
      <c r="C701" s="5" t="inlineStr">
        <is>
          <t>دواء</t>
        </is>
      </c>
      <c r="D701" s="13" t="inlineStr"/>
      <c r="E701" s="14">
        <f>L701-K701</f>
        <v/>
      </c>
      <c r="F701" s="14" t="n">
        <v>0</v>
      </c>
      <c r="G701" s="14">
        <f>F701-E701</f>
        <v/>
      </c>
      <c r="H701" s="7" t="n">
        <v>90.2</v>
      </c>
      <c r="I701" s="7">
        <f>G701*H701</f>
        <v/>
      </c>
      <c r="J701" s="16" t="inlineStr">
        <is>
          <t>لم يُجرد</t>
        </is>
      </c>
      <c r="K701" s="14" t="n">
        <v>0</v>
      </c>
      <c r="L701" s="14" t="n">
        <v>2</v>
      </c>
      <c r="M701" s="5" t="inlineStr"/>
      <c r="N701" s="5" t="inlineStr"/>
    </row>
    <row r="702">
      <c r="A702" s="13" t="inlineStr">
        <is>
          <t>00037926</t>
        </is>
      </c>
      <c r="B702" s="5" t="inlineStr">
        <is>
          <t>[00037926] ACTIPATCH MEDICAL DEVICE</t>
        </is>
      </c>
      <c r="C702" s="5" t="inlineStr">
        <is>
          <t>دواء</t>
        </is>
      </c>
      <c r="D702" s="13" t="inlineStr">
        <is>
          <t>851329005340</t>
        </is>
      </c>
      <c r="E702" s="14">
        <f>L702-K702</f>
        <v/>
      </c>
      <c r="F702" s="14" t="n">
        <v>0</v>
      </c>
      <c r="G702" s="14">
        <f>F702-E702</f>
        <v/>
      </c>
      <c r="H702" s="7" t="n">
        <v>195.5</v>
      </c>
      <c r="I702" s="7">
        <f>G702*H702</f>
        <v/>
      </c>
      <c r="J702" s="16" t="inlineStr">
        <is>
          <t>لم يُجرد</t>
        </is>
      </c>
      <c r="K702" s="14" t="n">
        <v>0</v>
      </c>
      <c r="L702" s="14" t="n">
        <v>1</v>
      </c>
      <c r="M702" s="5" t="inlineStr"/>
      <c r="N702" s="5" t="inlineStr"/>
    </row>
    <row r="703">
      <c r="A703" s="13" t="inlineStr">
        <is>
          <t>00045733</t>
        </is>
      </c>
      <c r="B703" s="5" t="inlineStr">
        <is>
          <t>[00045733] HABITS ELDERBERRY VIT-C -D3- ZINC 8400</t>
        </is>
      </c>
      <c r="C703" s="5" t="inlineStr">
        <is>
          <t>دواء</t>
        </is>
      </c>
      <c r="D703" s="13" t="inlineStr">
        <is>
          <t>628011808400</t>
        </is>
      </c>
      <c r="E703" s="14">
        <f>L703-K703</f>
        <v/>
      </c>
      <c r="F703" s="14" t="n">
        <v>0</v>
      </c>
      <c r="G703" s="14">
        <f>F703-E703</f>
        <v/>
      </c>
      <c r="H703" s="7" t="n">
        <v>80</v>
      </c>
      <c r="I703" s="7">
        <f>G703*H703</f>
        <v/>
      </c>
      <c r="J703" s="16" t="inlineStr">
        <is>
          <t>لم يُجرد</t>
        </is>
      </c>
      <c r="K703" s="14" t="n">
        <v>0</v>
      </c>
      <c r="L703" s="14" t="n">
        <v>2</v>
      </c>
      <c r="M703" s="5" t="inlineStr"/>
      <c r="N703" s="5" t="inlineStr"/>
    </row>
    <row r="704">
      <c r="A704" s="13" t="inlineStr">
        <is>
          <t>0004526</t>
        </is>
      </c>
      <c r="B704" s="5" t="inlineStr">
        <is>
          <t>[0004526] ZINNAT 500MG 10 TAB</t>
        </is>
      </c>
      <c r="C704" s="5" t="inlineStr">
        <is>
          <t>دواء</t>
        </is>
      </c>
      <c r="D704" s="13" t="inlineStr">
        <is>
          <t>01062850970008581719</t>
        </is>
      </c>
      <c r="E704" s="14">
        <f>L704-K704</f>
        <v/>
      </c>
      <c r="F704" s="14" t="n">
        <v>0</v>
      </c>
      <c r="G704" s="14">
        <f>F704-E704</f>
        <v/>
      </c>
      <c r="H704" s="7" t="n">
        <v>69.59999999999999</v>
      </c>
      <c r="I704" s="7">
        <f>G704*H704</f>
        <v/>
      </c>
      <c r="J704" s="16" t="inlineStr">
        <is>
          <t>لم يُجرد</t>
        </is>
      </c>
      <c r="K704" s="14" t="n">
        <v>0</v>
      </c>
      <c r="L704" s="14" t="n">
        <v>2</v>
      </c>
      <c r="M704" s="5" t="inlineStr"/>
      <c r="N704" s="5" t="inlineStr"/>
    </row>
    <row r="705">
      <c r="A705" s="13" t="inlineStr">
        <is>
          <t>00029887</t>
        </is>
      </c>
      <c r="B705" s="5" t="inlineStr">
        <is>
          <t>[00029887] AQUA MARIS STRONG NASAL SPRAY 30ML</t>
        </is>
      </c>
      <c r="C705" s="5" t="inlineStr">
        <is>
          <t>دواء</t>
        </is>
      </c>
      <c r="D705" s="13" t="inlineStr">
        <is>
          <t>3856013229887</t>
        </is>
      </c>
      <c r="E705" s="14">
        <f>L705-K705</f>
        <v/>
      </c>
      <c r="F705" s="14" t="n">
        <v>0</v>
      </c>
      <c r="G705" s="14">
        <f>F705-E705</f>
        <v/>
      </c>
      <c r="H705" s="7" t="n">
        <v>55</v>
      </c>
      <c r="I705" s="7">
        <f>G705*H705</f>
        <v/>
      </c>
      <c r="J705" s="16" t="inlineStr">
        <is>
          <t>لم يُجرد</t>
        </is>
      </c>
      <c r="K705" s="14" t="n">
        <v>0</v>
      </c>
      <c r="L705" s="14" t="n">
        <v>5</v>
      </c>
      <c r="M705" s="5" t="inlineStr"/>
      <c r="N705" s="5" t="inlineStr"/>
    </row>
    <row r="706">
      <c r="A706" s="13" t="inlineStr">
        <is>
          <t>00028455</t>
        </is>
      </c>
      <c r="B706" s="5" t="inlineStr">
        <is>
          <t>[00028455] UROLTE BIOTIC 14 SACHETS</t>
        </is>
      </c>
      <c r="C706" s="5" t="inlineStr">
        <is>
          <t>دواء</t>
        </is>
      </c>
      <c r="D706" s="13" t="inlineStr">
        <is>
          <t>0037182669930</t>
        </is>
      </c>
      <c r="E706" s="14">
        <f>L706-K706</f>
        <v/>
      </c>
      <c r="F706" s="14" t="n">
        <v>0</v>
      </c>
      <c r="G706" s="14">
        <f>F706-E706</f>
        <v/>
      </c>
      <c r="H706" s="7" t="n">
        <v>140</v>
      </c>
      <c r="I706" s="7">
        <f>G706*H706</f>
        <v/>
      </c>
      <c r="J706" s="16" t="inlineStr">
        <is>
          <t>لم يُجرد</t>
        </is>
      </c>
      <c r="K706" s="14" t="n">
        <v>0</v>
      </c>
      <c r="L706" s="14" t="n">
        <v>2</v>
      </c>
      <c r="M706" s="5" t="inlineStr"/>
      <c r="N706" s="5" t="inlineStr"/>
    </row>
    <row r="707">
      <c r="A707" s="13" t="inlineStr">
        <is>
          <t>00049049</t>
        </is>
      </c>
      <c r="B707" s="5" t="inlineStr">
        <is>
          <t>[00049049] ARGIVIT FOCUS 6695 SYP 150 ML</t>
        </is>
      </c>
      <c r="C707" s="5" t="inlineStr">
        <is>
          <t>دواء</t>
        </is>
      </c>
      <c r="D707" s="13" t="inlineStr">
        <is>
          <t>8680618036695</t>
        </is>
      </c>
      <c r="E707" s="14">
        <f>L707-K707</f>
        <v/>
      </c>
      <c r="F707" s="14" t="n">
        <v>0</v>
      </c>
      <c r="G707" s="14">
        <f>F707-E707</f>
        <v/>
      </c>
      <c r="H707" s="7" t="n">
        <v>89</v>
      </c>
      <c r="I707" s="7">
        <f>G707*H707</f>
        <v/>
      </c>
      <c r="J707" s="16" t="inlineStr">
        <is>
          <t>لم يُجرد</t>
        </is>
      </c>
      <c r="K707" s="14" t="n">
        <v>0</v>
      </c>
      <c r="L707" s="14" t="n">
        <v>2</v>
      </c>
      <c r="M707" s="5" t="inlineStr"/>
      <c r="N707" s="5" t="inlineStr"/>
    </row>
    <row r="708">
      <c r="A708" s="13" t="inlineStr">
        <is>
          <t>00049050</t>
        </is>
      </c>
      <c r="B708" s="5" t="inlineStr">
        <is>
          <t>[00049050] ARGIVIT SMART 4031 SYRUP 150 ML</t>
        </is>
      </c>
      <c r="C708" s="5" t="inlineStr">
        <is>
          <t>دواء</t>
        </is>
      </c>
      <c r="D708" s="13" t="inlineStr">
        <is>
          <t>8682408684031</t>
        </is>
      </c>
      <c r="E708" s="14">
        <f>L708-K708</f>
        <v/>
      </c>
      <c r="F708" s="14" t="n">
        <v>0</v>
      </c>
      <c r="G708" s="14">
        <f>F708-E708</f>
        <v/>
      </c>
      <c r="H708" s="7" t="n">
        <v>85</v>
      </c>
      <c r="I708" s="7">
        <f>G708*H708</f>
        <v/>
      </c>
      <c r="J708" s="16" t="inlineStr">
        <is>
          <t>لم يُجرد</t>
        </is>
      </c>
      <c r="K708" s="14" t="n">
        <v>0</v>
      </c>
      <c r="L708" s="14" t="n">
        <v>2</v>
      </c>
      <c r="M708" s="5" t="inlineStr"/>
      <c r="N708" s="5" t="inlineStr"/>
    </row>
    <row r="709">
      <c r="A709" s="13" t="inlineStr">
        <is>
          <t>00049051</t>
        </is>
      </c>
      <c r="B709" s="5" t="inlineStr">
        <is>
          <t>[00049051] ARGIVIT CLASSIC4000 SYRUP150 ML</t>
        </is>
      </c>
      <c r="C709" s="5" t="inlineStr">
        <is>
          <t>دواء</t>
        </is>
      </c>
      <c r="D709" s="13" t="inlineStr">
        <is>
          <t>8682408684000</t>
        </is>
      </c>
      <c r="E709" s="14">
        <f>L709-K709</f>
        <v/>
      </c>
      <c r="F709" s="14" t="n">
        <v>0</v>
      </c>
      <c r="G709" s="14">
        <f>F709-E709</f>
        <v/>
      </c>
      <c r="H709" s="7" t="n">
        <v>127</v>
      </c>
      <c r="I709" s="7">
        <f>G709*H709</f>
        <v/>
      </c>
      <c r="J709" s="16" t="inlineStr">
        <is>
          <t>لم يُجرد</t>
        </is>
      </c>
      <c r="K709" s="14" t="n">
        <v>0</v>
      </c>
      <c r="L709" s="14" t="n">
        <v>2</v>
      </c>
      <c r="M709" s="5" t="inlineStr"/>
      <c r="N709" s="5" t="inlineStr"/>
    </row>
    <row r="710">
      <c r="A710" s="13" t="inlineStr">
        <is>
          <t>0000068859</t>
        </is>
      </c>
      <c r="B710" s="5" t="inlineStr">
        <is>
          <t>[0000068859] UTYCAN PLUS SHOTS 25ML 1213</t>
        </is>
      </c>
      <c r="C710" s="5" t="inlineStr">
        <is>
          <t>دواء</t>
        </is>
      </c>
      <c r="D710" s="13" t="inlineStr">
        <is>
          <t>765464631213</t>
        </is>
      </c>
      <c r="E710" s="14">
        <f>L710-K710</f>
        <v/>
      </c>
      <c r="F710" s="14" t="n">
        <v>0</v>
      </c>
      <c r="G710" s="14">
        <f>F710-E710</f>
        <v/>
      </c>
      <c r="H710" s="7" t="n">
        <v>25</v>
      </c>
      <c r="I710" s="7">
        <f>G710*H710</f>
        <v/>
      </c>
      <c r="J710" s="16" t="inlineStr">
        <is>
          <t>لم يُجرد</t>
        </is>
      </c>
      <c r="K710" s="14" t="n">
        <v>0</v>
      </c>
      <c r="L710" s="14" t="n">
        <v>12</v>
      </c>
      <c r="M710" s="5" t="inlineStr"/>
      <c r="N710" s="5" t="inlineStr"/>
    </row>
    <row r="711">
      <c r="A711" s="13" t="inlineStr">
        <is>
          <t>00033098</t>
        </is>
      </c>
      <c r="B711" s="5" t="inlineStr">
        <is>
          <t>[00033098] KOFBEEZ 150ML</t>
        </is>
      </c>
      <c r="C711" s="5" t="inlineStr">
        <is>
          <t>دواء</t>
        </is>
      </c>
      <c r="D711" s="13" t="inlineStr">
        <is>
          <t>7640185010307</t>
        </is>
      </c>
      <c r="E711" s="14">
        <f>L711-K711</f>
        <v/>
      </c>
      <c r="F711" s="14" t="n">
        <v>0</v>
      </c>
      <c r="G711" s="14">
        <f>F711-E711</f>
        <v/>
      </c>
      <c r="H711" s="7" t="n">
        <v>40</v>
      </c>
      <c r="I711" s="7">
        <f>G711*H711</f>
        <v/>
      </c>
      <c r="J711" s="16" t="inlineStr">
        <is>
          <t>لم يُجرد</t>
        </is>
      </c>
      <c r="K711" s="14" t="n">
        <v>0</v>
      </c>
      <c r="L711" s="14" t="n">
        <v>3</v>
      </c>
      <c r="M711" s="5" t="inlineStr"/>
      <c r="N711" s="5" t="inlineStr"/>
    </row>
    <row r="712">
      <c r="A712" s="13" t="inlineStr">
        <is>
          <t>00042934</t>
        </is>
      </c>
      <c r="B712" s="5" t="inlineStr">
        <is>
          <t>[00042934] LIMI LACTOPRO 10 SACHETS</t>
        </is>
      </c>
      <c r="C712" s="5" t="inlineStr">
        <is>
          <t>دواء</t>
        </is>
      </c>
      <c r="D712" s="13" t="inlineStr">
        <is>
          <t>608028917135</t>
        </is>
      </c>
      <c r="E712" s="14">
        <f>L712-K712</f>
        <v/>
      </c>
      <c r="F712" s="14" t="n">
        <v>0</v>
      </c>
      <c r="G712" s="14">
        <f>F712-E712</f>
        <v/>
      </c>
      <c r="H712" s="7" t="n">
        <v>120</v>
      </c>
      <c r="I712" s="7">
        <f>G712*H712</f>
        <v/>
      </c>
      <c r="J712" s="16" t="inlineStr">
        <is>
          <t>لم يُجرد</t>
        </is>
      </c>
      <c r="K712" s="14" t="n">
        <v>0</v>
      </c>
      <c r="L712" s="14" t="n">
        <v>2</v>
      </c>
      <c r="M712" s="5" t="inlineStr"/>
      <c r="N712" s="5" t="inlineStr"/>
    </row>
    <row r="713">
      <c r="A713" s="13" t="inlineStr">
        <is>
          <t>00044983</t>
        </is>
      </c>
      <c r="B713" s="5" t="inlineStr">
        <is>
          <t>[00044983] PROLYTE ZINC 7 SACHETS JR.PHAR</t>
        </is>
      </c>
      <c r="C713" s="5" t="inlineStr">
        <is>
          <t>دواء</t>
        </is>
      </c>
      <c r="D713" s="13" t="inlineStr"/>
      <c r="E713" s="14">
        <f>L713-K713</f>
        <v/>
      </c>
      <c r="F713" s="14" t="n">
        <v>0</v>
      </c>
      <c r="G713" s="14">
        <f>F713-E713</f>
        <v/>
      </c>
      <c r="H713" s="7" t="n">
        <v>60</v>
      </c>
      <c r="I713" s="7">
        <f>G713*H713</f>
        <v/>
      </c>
      <c r="J713" s="16" t="inlineStr">
        <is>
          <t>لم يُجرد</t>
        </is>
      </c>
      <c r="K713" s="14" t="n">
        <v>0</v>
      </c>
      <c r="L713" s="14" t="n">
        <v>2</v>
      </c>
      <c r="M713" s="5" t="inlineStr"/>
      <c r="N713" s="5" t="inlineStr"/>
    </row>
    <row r="714">
      <c r="A714" s="13" t="inlineStr">
        <is>
          <t>00047329</t>
        </is>
      </c>
      <c r="B714" s="5" t="inlineStr">
        <is>
          <t>[00047329] NQ GINKGO BILOBA AND VIAMINS  30CAP 8722</t>
        </is>
      </c>
      <c r="C714" s="5" t="inlineStr">
        <is>
          <t>دواء</t>
        </is>
      </c>
      <c r="D714" s="13" t="inlineStr">
        <is>
          <t>795044248722</t>
        </is>
      </c>
      <c r="E714" s="14">
        <f>L714-K714</f>
        <v/>
      </c>
      <c r="F714" s="14" t="n">
        <v>0</v>
      </c>
      <c r="G714" s="14">
        <f>F714-E714</f>
        <v/>
      </c>
      <c r="H714" s="7" t="n">
        <v>100</v>
      </c>
      <c r="I714" s="7">
        <f>G714*H714</f>
        <v/>
      </c>
      <c r="J714" s="16" t="inlineStr">
        <is>
          <t>لم يُجرد</t>
        </is>
      </c>
      <c r="K714" s="14" t="n">
        <v>0</v>
      </c>
      <c r="L714" s="14" t="n">
        <v>4</v>
      </c>
      <c r="M714" s="5" t="inlineStr"/>
      <c r="N714" s="5" t="inlineStr"/>
    </row>
    <row r="715">
      <c r="A715" s="13" t="inlineStr">
        <is>
          <t>00039819</t>
        </is>
      </c>
      <c r="B715" s="5" t="inlineStr">
        <is>
          <t>[00039819] AVALON EZ CARE9297MOISTURIZING LOTION 500 ML</t>
        </is>
      </c>
      <c r="C715" s="5" t="inlineStr">
        <is>
          <t>دواء</t>
        </is>
      </c>
      <c r="D715" s="13" t="inlineStr">
        <is>
          <t>6285095009297</t>
        </is>
      </c>
      <c r="E715" s="14">
        <f>L715-K715</f>
        <v/>
      </c>
      <c r="F715" s="14" t="n">
        <v>0</v>
      </c>
      <c r="G715" s="14">
        <f>F715-E715</f>
        <v/>
      </c>
      <c r="H715" s="7" t="n">
        <v>133</v>
      </c>
      <c r="I715" s="7">
        <f>G715*H715</f>
        <v/>
      </c>
      <c r="J715" s="16" t="inlineStr">
        <is>
          <t>لم يُجرد</t>
        </is>
      </c>
      <c r="K715" s="14" t="n">
        <v>0</v>
      </c>
      <c r="L715" s="14" t="n">
        <v>2</v>
      </c>
      <c r="M715" s="5" t="inlineStr"/>
      <c r="N715" s="5" t="inlineStr"/>
    </row>
    <row r="716">
      <c r="A716" s="13" t="inlineStr">
        <is>
          <t>00014896</t>
        </is>
      </c>
      <c r="B716" s="5" t="inlineStr">
        <is>
          <t>[00014896] ZOLINDA 5 MG TAB</t>
        </is>
      </c>
      <c r="C716" s="5" t="inlineStr">
        <is>
          <t>دواء</t>
        </is>
      </c>
      <c r="D716" s="13" t="inlineStr">
        <is>
          <t>06281086003299</t>
        </is>
      </c>
      <c r="E716" s="14">
        <f>L716-K716</f>
        <v/>
      </c>
      <c r="F716" s="14" t="n">
        <v>0</v>
      </c>
      <c r="G716" s="14">
        <f>F716-E716</f>
        <v/>
      </c>
      <c r="H716" s="7" t="n">
        <v>137.2</v>
      </c>
      <c r="I716" s="7">
        <f>G716*H716</f>
        <v/>
      </c>
      <c r="J716" s="16" t="inlineStr">
        <is>
          <t>لم يُجرد</t>
        </is>
      </c>
      <c r="K716" s="14" t="n">
        <v>0</v>
      </c>
      <c r="L716" s="14" t="n">
        <v>1</v>
      </c>
      <c r="M716" s="5" t="inlineStr"/>
      <c r="N716" s="5" t="inlineStr"/>
    </row>
    <row r="717">
      <c r="A717" s="13" t="inlineStr">
        <is>
          <t>00012927</t>
        </is>
      </c>
      <c r="B717" s="5" t="inlineStr">
        <is>
          <t>[00012927] PREDO 5MG 30 TAB</t>
        </is>
      </c>
      <c r="C717" s="5" t="inlineStr">
        <is>
          <t>دواء</t>
        </is>
      </c>
      <c r="D717" s="13" t="inlineStr"/>
      <c r="E717" s="14">
        <f>L717-K717</f>
        <v/>
      </c>
      <c r="F717" s="14" t="n">
        <v>0</v>
      </c>
      <c r="G717" s="14">
        <f>F717-E717</f>
        <v/>
      </c>
      <c r="H717" s="7" t="n">
        <v>15.9</v>
      </c>
      <c r="I717" s="7">
        <f>G717*H717</f>
        <v/>
      </c>
      <c r="J717" s="16" t="inlineStr">
        <is>
          <t>لم يُجرد</t>
        </is>
      </c>
      <c r="K717" s="14" t="n">
        <v>0</v>
      </c>
      <c r="L717" s="14" t="n">
        <v>9</v>
      </c>
      <c r="M717" s="5" t="inlineStr"/>
      <c r="N717" s="5" t="inlineStr"/>
    </row>
    <row r="718">
      <c r="A718" s="13" t="inlineStr">
        <is>
          <t>0004292</t>
        </is>
      </c>
      <c r="B718" s="5" t="inlineStr">
        <is>
          <t>[0004292] CLARITT XL 500MG 14TAB</t>
        </is>
      </c>
      <c r="C718" s="5" t="inlineStr">
        <is>
          <t>دواء</t>
        </is>
      </c>
      <c r="D718" s="13" t="inlineStr"/>
      <c r="E718" s="14">
        <f>L718-K718</f>
        <v/>
      </c>
      <c r="F718" s="14" t="n">
        <v>0</v>
      </c>
      <c r="G718" s="14">
        <f>F718-E718</f>
        <v/>
      </c>
      <c r="H718" s="7" t="n">
        <v>72</v>
      </c>
      <c r="I718" s="7">
        <f>G718*H718</f>
        <v/>
      </c>
      <c r="J718" s="16" t="inlineStr">
        <is>
          <t>لم يُجرد</t>
        </is>
      </c>
      <c r="K718" s="14" t="n">
        <v>0</v>
      </c>
      <c r="L718" s="14" t="n">
        <v>2</v>
      </c>
      <c r="M718" s="5" t="inlineStr"/>
      <c r="N718" s="5" t="inlineStr"/>
    </row>
    <row r="719">
      <c r="A719" s="13" t="inlineStr">
        <is>
          <t>0005104</t>
        </is>
      </c>
      <c r="B719" s="5" t="inlineStr">
        <is>
          <t>[0005104] RIDONE 4MG 30TAB</t>
        </is>
      </c>
      <c r="C719" s="5" t="inlineStr">
        <is>
          <t>دواء</t>
        </is>
      </c>
      <c r="D719" s="13" t="inlineStr"/>
      <c r="E719" s="14">
        <f>L719-K719</f>
        <v/>
      </c>
      <c r="F719" s="14" t="n">
        <v>0</v>
      </c>
      <c r="G719" s="14">
        <f>F719-E719</f>
        <v/>
      </c>
      <c r="H719" s="7" t="n">
        <v>142.3</v>
      </c>
      <c r="I719" s="7">
        <f>G719*H719</f>
        <v/>
      </c>
      <c r="J719" s="16" t="inlineStr">
        <is>
          <t>لم يُجرد</t>
        </is>
      </c>
      <c r="K719" s="14" t="n">
        <v>0</v>
      </c>
      <c r="L719" s="14" t="n">
        <v>1</v>
      </c>
      <c r="M719" s="5" t="inlineStr"/>
      <c r="N719" s="5" t="inlineStr"/>
    </row>
    <row r="720">
      <c r="A720" s="13" t="inlineStr">
        <is>
          <t>00030678</t>
        </is>
      </c>
      <c r="B720" s="5" t="inlineStr">
        <is>
          <t>[00030678] NEVOTIC 500MG 7 TAB</t>
        </is>
      </c>
      <c r="C720" s="5" t="inlineStr">
        <is>
          <t>دواء</t>
        </is>
      </c>
      <c r="D720" s="13" t="inlineStr">
        <is>
          <t>06251106802324</t>
        </is>
      </c>
      <c r="E720" s="14">
        <f>L720-K720</f>
        <v/>
      </c>
      <c r="F720" s="14" t="n">
        <v>0</v>
      </c>
      <c r="G720" s="14">
        <f>F720-E720</f>
        <v/>
      </c>
      <c r="H720" s="7" t="n">
        <v>47.6</v>
      </c>
      <c r="I720" s="7">
        <f>G720*H720</f>
        <v/>
      </c>
      <c r="J720" s="16" t="inlineStr">
        <is>
          <t>لم يُجرد</t>
        </is>
      </c>
      <c r="K720" s="14" t="n">
        <v>0</v>
      </c>
      <c r="L720" s="14" t="n">
        <v>3</v>
      </c>
      <c r="M720" s="5" t="inlineStr"/>
      <c r="N720" s="5" t="inlineStr"/>
    </row>
    <row r="721">
      <c r="A721" s="13" t="inlineStr">
        <is>
          <t>0003488</t>
        </is>
      </c>
      <c r="B721" s="5" t="inlineStr">
        <is>
          <t>[0003488] HISTOP SYRUP 100ML</t>
        </is>
      </c>
      <c r="C721" s="5" t="inlineStr">
        <is>
          <t>دواء</t>
        </is>
      </c>
      <c r="D721" s="13" t="inlineStr">
        <is>
          <t>06281086010181</t>
        </is>
      </c>
      <c r="E721" s="14">
        <f>L721-K721</f>
        <v/>
      </c>
      <c r="F721" s="14" t="n">
        <v>0</v>
      </c>
      <c r="G721" s="14">
        <f>F721-E721</f>
        <v/>
      </c>
      <c r="H721" s="7" t="n">
        <v>6.9</v>
      </c>
      <c r="I721" s="7">
        <f>G721*H721</f>
        <v/>
      </c>
      <c r="J721" s="16" t="inlineStr">
        <is>
          <t>لم يُجرد</t>
        </is>
      </c>
      <c r="K721" s="14" t="n">
        <v>0</v>
      </c>
      <c r="L721" s="14" t="n">
        <v>25</v>
      </c>
      <c r="M721" s="5" t="inlineStr"/>
      <c r="N721" s="5" t="inlineStr"/>
    </row>
    <row r="722">
      <c r="A722" s="13" t="inlineStr">
        <is>
          <t>00040449</t>
        </is>
      </c>
      <c r="B722" s="5" t="inlineStr">
        <is>
          <t>[00040449] ONDANS FC TAB 8MG 10P</t>
        </is>
      </c>
      <c r="C722" s="5" t="inlineStr">
        <is>
          <t>دواء</t>
        </is>
      </c>
      <c r="D722" s="13" t="inlineStr"/>
      <c r="E722" s="14">
        <f>L722-K722</f>
        <v/>
      </c>
      <c r="F722" s="14" t="n">
        <v>0</v>
      </c>
      <c r="G722" s="14">
        <f>F722-E722</f>
        <v/>
      </c>
      <c r="H722" s="7" t="n">
        <v>136.35</v>
      </c>
      <c r="I722" s="7">
        <f>G722*H722</f>
        <v/>
      </c>
      <c r="J722" s="16" t="inlineStr">
        <is>
          <t>لم يُجرد</t>
        </is>
      </c>
      <c r="K722" s="14" t="n">
        <v>0</v>
      </c>
      <c r="L722" s="14" t="n">
        <v>1</v>
      </c>
      <c r="M722" s="5" t="inlineStr"/>
      <c r="N722" s="5" t="inlineStr"/>
    </row>
    <row r="723">
      <c r="A723" s="13" t="inlineStr">
        <is>
          <t>00024842</t>
        </is>
      </c>
      <c r="B723" s="5" t="inlineStr">
        <is>
          <t>[00024842] CANDI VAG WASH 250ML</t>
        </is>
      </c>
      <c r="C723" s="5" t="inlineStr">
        <is>
          <t>دواء</t>
        </is>
      </c>
      <c r="D723" s="13" t="inlineStr">
        <is>
          <t>6224010010017</t>
        </is>
      </c>
      <c r="E723" s="14">
        <f>L723-K723</f>
        <v/>
      </c>
      <c r="F723" s="14" t="n">
        <v>0</v>
      </c>
      <c r="G723" s="14">
        <f>F723-E723</f>
        <v/>
      </c>
      <c r="H723" s="7" t="n">
        <v>79</v>
      </c>
      <c r="I723" s="7">
        <f>G723*H723</f>
        <v/>
      </c>
      <c r="J723" s="16" t="inlineStr">
        <is>
          <t>لم يُجرد</t>
        </is>
      </c>
      <c r="K723" s="14" t="n">
        <v>0</v>
      </c>
      <c r="L723" s="14" t="n">
        <v>3</v>
      </c>
      <c r="M723" s="5" t="inlineStr"/>
      <c r="N723" s="5" t="inlineStr"/>
    </row>
    <row r="724">
      <c r="A724" s="13" t="inlineStr">
        <is>
          <t>0005219</t>
        </is>
      </c>
      <c r="B724" s="5" t="inlineStr">
        <is>
          <t>[0005219] PROCTO GLYVENOL CREAM 30GM</t>
        </is>
      </c>
      <c r="C724" s="5" t="inlineStr">
        <is>
          <t>دواء</t>
        </is>
      </c>
      <c r="D724" s="13" t="inlineStr">
        <is>
          <t>07630035400198</t>
        </is>
      </c>
      <c r="E724" s="14">
        <f>L724-K724</f>
        <v/>
      </c>
      <c r="F724" s="14" t="n">
        <v>0</v>
      </c>
      <c r="G724" s="14">
        <f>F724-E724</f>
        <v/>
      </c>
      <c r="H724" s="7" t="n">
        <v>35.45</v>
      </c>
      <c r="I724" s="7">
        <f>G724*H724</f>
        <v/>
      </c>
      <c r="J724" s="16" t="inlineStr">
        <is>
          <t>لم يُجرد</t>
        </is>
      </c>
      <c r="K724" s="14" t="n">
        <v>0</v>
      </c>
      <c r="L724" s="14" t="n">
        <v>4</v>
      </c>
      <c r="M724" s="5" t="inlineStr"/>
      <c r="N724" s="5" t="inlineStr"/>
    </row>
    <row r="725">
      <c r="A725" s="13" t="inlineStr">
        <is>
          <t>00014511</t>
        </is>
      </c>
      <c r="B725" s="5" t="inlineStr">
        <is>
          <t>[00014511] FENUGREEK 500MG 60CAP ECKHART</t>
        </is>
      </c>
      <c r="C725" s="5" t="inlineStr">
        <is>
          <t>دواء</t>
        </is>
      </c>
      <c r="D725" s="13" t="inlineStr">
        <is>
          <t>714654143814</t>
        </is>
      </c>
      <c r="E725" s="14">
        <f>L725-K725</f>
        <v/>
      </c>
      <c r="F725" s="14" t="n">
        <v>0</v>
      </c>
      <c r="G725" s="14">
        <f>F725-E725</f>
        <v/>
      </c>
      <c r="H725" s="7" t="n">
        <v>98</v>
      </c>
      <c r="I725" s="7">
        <f>G725*H725</f>
        <v/>
      </c>
      <c r="J725" s="16" t="inlineStr">
        <is>
          <t>لم يُجرد</t>
        </is>
      </c>
      <c r="K725" s="14" t="n">
        <v>0</v>
      </c>
      <c r="L725" s="14" t="n">
        <v>2</v>
      </c>
      <c r="M725" s="5" t="inlineStr"/>
      <c r="N725" s="5" t="inlineStr"/>
    </row>
    <row r="726">
      <c r="A726" s="13" t="inlineStr">
        <is>
          <t>00045991</t>
        </is>
      </c>
      <c r="B726" s="5" t="inlineStr">
        <is>
          <t>[00045991] SITAVIC 50/850 MG 56TAB</t>
        </is>
      </c>
      <c r="C726" s="5" t="inlineStr">
        <is>
          <t>دواء</t>
        </is>
      </c>
      <c r="D726" s="13" t="inlineStr"/>
      <c r="E726" s="14">
        <f>L726-K726</f>
        <v/>
      </c>
      <c r="F726" s="14" t="n">
        <v>0</v>
      </c>
      <c r="G726" s="14">
        <f>F726-E726</f>
        <v/>
      </c>
      <c r="H726" s="7" t="n">
        <v>88</v>
      </c>
      <c r="I726" s="7">
        <f>G726*H726</f>
        <v/>
      </c>
      <c r="J726" s="16" t="inlineStr">
        <is>
          <t>لم يُجرد</t>
        </is>
      </c>
      <c r="K726" s="14" t="n">
        <v>0</v>
      </c>
      <c r="L726" s="14" t="n">
        <v>2</v>
      </c>
      <c r="M726" s="5" t="inlineStr"/>
      <c r="N726" s="5" t="inlineStr"/>
    </row>
    <row r="727">
      <c r="A727" s="13" t="inlineStr">
        <is>
          <t>0003130</t>
        </is>
      </c>
      <c r="B727" s="5" t="inlineStr">
        <is>
          <t>[0003130] ZYRTEC 10MG 10TAB</t>
        </is>
      </c>
      <c r="C727" s="5" t="inlineStr">
        <is>
          <t>دواء</t>
        </is>
      </c>
      <c r="D727" s="13" t="inlineStr">
        <is>
          <t>01062850960007501721</t>
        </is>
      </c>
      <c r="E727" s="14">
        <f>L727-K727</f>
        <v/>
      </c>
      <c r="F727" s="14" t="n">
        <v>0</v>
      </c>
      <c r="G727" s="14">
        <f>F727-E727</f>
        <v/>
      </c>
      <c r="H727" s="7" t="n">
        <v>16.2</v>
      </c>
      <c r="I727" s="7">
        <f>G727*H727</f>
        <v/>
      </c>
      <c r="J727" s="16" t="inlineStr">
        <is>
          <t>لم يُجرد</t>
        </is>
      </c>
      <c r="K727" s="14" t="n">
        <v>0</v>
      </c>
      <c r="L727" s="14" t="n">
        <v>10</v>
      </c>
      <c r="M727" s="5" t="inlineStr"/>
      <c r="N727" s="5" t="inlineStr"/>
    </row>
    <row r="728">
      <c r="A728" s="13" t="inlineStr">
        <is>
          <t>00024266</t>
        </is>
      </c>
      <c r="B728" s="5" t="inlineStr">
        <is>
          <t>[00024266] JP VALERIAN 30CAP</t>
        </is>
      </c>
      <c r="C728" s="5" t="inlineStr">
        <is>
          <t>دواء</t>
        </is>
      </c>
      <c r="D728" s="13" t="inlineStr">
        <is>
          <t>06285128006729</t>
        </is>
      </c>
      <c r="E728" s="14">
        <f>L728-K728</f>
        <v/>
      </c>
      <c r="F728" s="14" t="n">
        <v>0</v>
      </c>
      <c r="G728" s="14">
        <f>F728-E728</f>
        <v/>
      </c>
      <c r="H728" s="7" t="n">
        <v>69</v>
      </c>
      <c r="I728" s="7">
        <f>G728*H728</f>
        <v/>
      </c>
      <c r="J728" s="16" t="inlineStr">
        <is>
          <t>لم يُجرد</t>
        </is>
      </c>
      <c r="K728" s="14" t="n">
        <v>0</v>
      </c>
      <c r="L728" s="14" t="n">
        <v>2</v>
      </c>
      <c r="M728" s="5" t="inlineStr"/>
      <c r="N728" s="5" t="inlineStr"/>
    </row>
    <row r="729">
      <c r="A729" s="13" t="inlineStr">
        <is>
          <t>00037739</t>
        </is>
      </c>
      <c r="B729" s="5" t="inlineStr">
        <is>
          <t>[00037739] RINA EXTRA 30 TAB</t>
        </is>
      </c>
      <c r="C729" s="5" t="inlineStr">
        <is>
          <t>دواء</t>
        </is>
      </c>
      <c r="D729" s="13" t="inlineStr">
        <is>
          <t>6251107428035</t>
        </is>
      </c>
      <c r="E729" s="14">
        <f>L729-K729</f>
        <v/>
      </c>
      <c r="F729" s="14" t="n">
        <v>0</v>
      </c>
      <c r="G729" s="14">
        <f>F729-E729</f>
        <v/>
      </c>
      <c r="H729" s="7" t="n">
        <v>35</v>
      </c>
      <c r="I729" s="7">
        <f>G729*H729</f>
        <v/>
      </c>
      <c r="J729" s="16" t="inlineStr">
        <is>
          <t>لم يُجرد</t>
        </is>
      </c>
      <c r="K729" s="14" t="n">
        <v>0</v>
      </c>
      <c r="L729" s="14" t="n">
        <v>4</v>
      </c>
      <c r="M729" s="5" t="inlineStr"/>
      <c r="N729" s="5" t="inlineStr"/>
    </row>
    <row r="730">
      <c r="A730" s="13" t="inlineStr">
        <is>
          <t>00020459</t>
        </is>
      </c>
      <c r="B730" s="5" t="inlineStr">
        <is>
          <t>[00020459] MYOREST PLUS  MASSAGE CREAM 100GM</t>
        </is>
      </c>
      <c r="C730" s="5" t="inlineStr">
        <is>
          <t>دواء</t>
        </is>
      </c>
      <c r="D730" s="13" t="inlineStr">
        <is>
          <t>6287017610086</t>
        </is>
      </c>
      <c r="E730" s="14">
        <f>L730-K730</f>
        <v/>
      </c>
      <c r="F730" s="14" t="n">
        <v>0</v>
      </c>
      <c r="G730" s="14">
        <f>F730-E730</f>
        <v/>
      </c>
      <c r="H730" s="7" t="n">
        <v>80</v>
      </c>
      <c r="I730" s="7">
        <f>G730*H730</f>
        <v/>
      </c>
      <c r="J730" s="16" t="inlineStr">
        <is>
          <t>لم يُجرد</t>
        </is>
      </c>
      <c r="K730" s="14" t="n">
        <v>0</v>
      </c>
      <c r="L730" s="14" t="n">
        <v>4</v>
      </c>
      <c r="M730" s="5" t="inlineStr"/>
      <c r="N730" s="5" t="inlineStr"/>
    </row>
    <row r="731">
      <c r="A731" s="13" t="inlineStr">
        <is>
          <t>0005512</t>
        </is>
      </c>
      <c r="B731" s="5" t="inlineStr">
        <is>
          <t>[0005512] NICOTINELL TTS 20 MG 7 SYSTEM W******</t>
        </is>
      </c>
      <c r="C731" s="5" t="inlineStr">
        <is>
          <t>دواء</t>
        </is>
      </c>
      <c r="D731" s="13" t="inlineStr">
        <is>
          <t>01076300354000201704</t>
        </is>
      </c>
      <c r="E731" s="14">
        <f>L731-K731</f>
        <v/>
      </c>
      <c r="F731" s="14" t="n">
        <v>0</v>
      </c>
      <c r="G731" s="14">
        <f>F731-E731</f>
        <v/>
      </c>
      <c r="H731" s="7" t="n">
        <v>66.09999999999999</v>
      </c>
      <c r="I731" s="7">
        <f>G731*H731</f>
        <v/>
      </c>
      <c r="J731" s="16" t="inlineStr">
        <is>
          <t>لم يُجرد</t>
        </is>
      </c>
      <c r="K731" s="14" t="n">
        <v>0</v>
      </c>
      <c r="L731" s="14" t="n">
        <v>3</v>
      </c>
      <c r="M731" s="5" t="inlineStr"/>
      <c r="N731" s="5" t="inlineStr"/>
    </row>
    <row r="732">
      <c r="A732" s="13" t="inlineStr">
        <is>
          <t>0004914</t>
        </is>
      </c>
      <c r="B732" s="5" t="inlineStr">
        <is>
          <t>[0004914] SELECTA 5MG 30 TAB</t>
        </is>
      </c>
      <c r="C732" s="5" t="inlineStr">
        <is>
          <t>دواء</t>
        </is>
      </c>
      <c r="D732" s="13" t="inlineStr">
        <is>
          <t>010628512800080210ul</t>
        </is>
      </c>
      <c r="E732" s="14">
        <f>L732-K732</f>
        <v/>
      </c>
      <c r="F732" s="14" t="n">
        <v>0</v>
      </c>
      <c r="G732" s="14">
        <f>F732-E732</f>
        <v/>
      </c>
      <c r="H732" s="7" t="n">
        <v>27.75</v>
      </c>
      <c r="I732" s="7">
        <f>G732*H732</f>
        <v/>
      </c>
      <c r="J732" s="16" t="inlineStr">
        <is>
          <t>لم يُجرد</t>
        </is>
      </c>
      <c r="K732" s="14" t="n">
        <v>0</v>
      </c>
      <c r="L732" s="14" t="n">
        <v>7</v>
      </c>
      <c r="M732" s="5" t="inlineStr"/>
      <c r="N732" s="5" t="inlineStr"/>
    </row>
    <row r="733">
      <c r="A733" s="13" t="inlineStr">
        <is>
          <t>0004800</t>
        </is>
      </c>
      <c r="B733" s="5" t="inlineStr">
        <is>
          <t>[0004800] TRAVATAN EYE DROPS 2.5ML</t>
        </is>
      </c>
      <c r="C733" s="5" t="inlineStr">
        <is>
          <t>دواء</t>
        </is>
      </c>
      <c r="D733" s="13" t="inlineStr">
        <is>
          <t>01054138950308711719</t>
        </is>
      </c>
      <c r="E733" s="14">
        <f>L733-K733</f>
        <v/>
      </c>
      <c r="F733" s="14" t="n">
        <v>0</v>
      </c>
      <c r="G733" s="14">
        <f>F733-E733</f>
        <v/>
      </c>
      <c r="H733" s="7" t="n">
        <v>46.3</v>
      </c>
      <c r="I733" s="7">
        <f>G733*H733</f>
        <v/>
      </c>
      <c r="J733" s="16" t="inlineStr">
        <is>
          <t>لم يُجرد</t>
        </is>
      </c>
      <c r="K733" s="14" t="n">
        <v>0</v>
      </c>
      <c r="L733" s="14" t="n">
        <v>3</v>
      </c>
      <c r="M733" s="5" t="inlineStr"/>
      <c r="N733" s="5" t="inlineStr"/>
    </row>
    <row r="734">
      <c r="A734" s="13" t="inlineStr">
        <is>
          <t>00035451</t>
        </is>
      </c>
      <c r="B734" s="5" t="inlineStr">
        <is>
          <t>[00035451] VISLUBE GEL 0.3% 0.45#20ML DROPS</t>
        </is>
      </c>
      <c r="C734" s="5" t="inlineStr">
        <is>
          <t>دواء</t>
        </is>
      </c>
      <c r="D734" s="13" t="inlineStr"/>
      <c r="E734" s="14">
        <f>L734-K734</f>
        <v/>
      </c>
      <c r="F734" s="14" t="n">
        <v>0</v>
      </c>
      <c r="G734" s="14">
        <f>F734-E734</f>
        <v/>
      </c>
      <c r="H734" s="7" t="n">
        <v>46.1</v>
      </c>
      <c r="I734" s="7">
        <f>G734*H734</f>
        <v/>
      </c>
      <c r="J734" s="16" t="inlineStr">
        <is>
          <t>لم يُجرد</t>
        </is>
      </c>
      <c r="K734" s="14" t="n">
        <v>0</v>
      </c>
      <c r="L734" s="14" t="n">
        <v>3</v>
      </c>
      <c r="M734" s="5" t="inlineStr"/>
      <c r="N734" s="5" t="inlineStr"/>
    </row>
    <row r="735">
      <c r="A735" s="13" t="inlineStr">
        <is>
          <t>00026224</t>
        </is>
      </c>
      <c r="B735" s="5" t="inlineStr">
        <is>
          <t>[00026224] NAZOMED NASAL SPRAY</t>
        </is>
      </c>
      <c r="C735" s="5" t="inlineStr">
        <is>
          <t>دواء</t>
        </is>
      </c>
      <c r="D735" s="13" t="inlineStr">
        <is>
          <t>0785249791017</t>
        </is>
      </c>
      <c r="E735" s="14">
        <f>L735-K735</f>
        <v/>
      </c>
      <c r="F735" s="14" t="n">
        <v>0</v>
      </c>
      <c r="G735" s="14">
        <f>F735-E735</f>
        <v/>
      </c>
      <c r="H735" s="7" t="n">
        <v>46.1</v>
      </c>
      <c r="I735" s="7">
        <f>G735*H735</f>
        <v/>
      </c>
      <c r="J735" s="16" t="inlineStr">
        <is>
          <t>لم يُجرد</t>
        </is>
      </c>
      <c r="K735" s="14" t="n">
        <v>0</v>
      </c>
      <c r="L735" s="14" t="n">
        <v>3</v>
      </c>
      <c r="M735" s="5" t="inlineStr"/>
      <c r="N735" s="5" t="inlineStr"/>
    </row>
    <row r="736">
      <c r="A736" s="13" t="inlineStr">
        <is>
          <t>0004135</t>
        </is>
      </c>
      <c r="B736" s="5" t="inlineStr">
        <is>
          <t>[0004135] COVERSYL 5MG 30TABLET</t>
        </is>
      </c>
      <c r="C736" s="5" t="inlineStr">
        <is>
          <t>دواء</t>
        </is>
      </c>
      <c r="D736" s="13" t="inlineStr">
        <is>
          <t>010628510800000621va</t>
        </is>
      </c>
      <c r="E736" s="14">
        <f>L736-K736</f>
        <v/>
      </c>
      <c r="F736" s="14" t="n">
        <v>0</v>
      </c>
      <c r="G736" s="14">
        <f>F736-E736</f>
        <v/>
      </c>
      <c r="H736" s="7" t="n">
        <v>34.55</v>
      </c>
      <c r="I736" s="7">
        <f>G736*H736</f>
        <v/>
      </c>
      <c r="J736" s="16" t="inlineStr">
        <is>
          <t>لم يُجرد</t>
        </is>
      </c>
      <c r="K736" s="14" t="n">
        <v>0</v>
      </c>
      <c r="L736" s="14" t="n">
        <v>4</v>
      </c>
      <c r="M736" s="5" t="inlineStr"/>
      <c r="N736" s="5" t="inlineStr"/>
    </row>
    <row r="737">
      <c r="A737" s="13" t="inlineStr">
        <is>
          <t>0005526</t>
        </is>
      </c>
      <c r="B737" s="5" t="inlineStr">
        <is>
          <t>[0005526] NAPHCON A EYE DROPS 15ML*****</t>
        </is>
      </c>
      <c r="C737" s="5" t="inlineStr">
        <is>
          <t>دواء</t>
        </is>
      </c>
      <c r="D737" s="13" t="inlineStr">
        <is>
          <t>01054138950308191719</t>
        </is>
      </c>
      <c r="E737" s="14">
        <f>L737-K737</f>
        <v/>
      </c>
      <c r="F737" s="14" t="n">
        <v>0</v>
      </c>
      <c r="G737" s="14">
        <f>F737-E737</f>
        <v/>
      </c>
      <c r="H737" s="7" t="n">
        <v>17.25</v>
      </c>
      <c r="I737" s="7">
        <f>G737*H737</f>
        <v/>
      </c>
      <c r="J737" s="16" t="inlineStr">
        <is>
          <t>لم يُجرد</t>
        </is>
      </c>
      <c r="K737" s="14" t="n">
        <v>0</v>
      </c>
      <c r="L737" s="14" t="n">
        <v>8</v>
      </c>
      <c r="M737" s="5" t="inlineStr"/>
      <c r="N737" s="5" t="inlineStr"/>
    </row>
    <row r="738">
      <c r="A738" s="13" t="inlineStr">
        <is>
          <t>0005312</t>
        </is>
      </c>
      <c r="B738" s="5" t="inlineStr">
        <is>
          <t>[0005312] PANTOMAX 20MG 15 TAB</t>
        </is>
      </c>
      <c r="C738" s="5" t="inlineStr">
        <is>
          <t>دواء</t>
        </is>
      </c>
      <c r="D738" s="13" t="inlineStr"/>
      <c r="E738" s="14">
        <f>L738-K738</f>
        <v/>
      </c>
      <c r="F738" s="14" t="n">
        <v>0</v>
      </c>
      <c r="G738" s="14">
        <f>F738-E738</f>
        <v/>
      </c>
      <c r="H738" s="7" t="n">
        <v>19.7</v>
      </c>
      <c r="I738" s="7">
        <f>G738*H738</f>
        <v/>
      </c>
      <c r="J738" s="16" t="inlineStr">
        <is>
          <t>لم يُجرد</t>
        </is>
      </c>
      <c r="K738" s="14" t="n">
        <v>0</v>
      </c>
      <c r="L738" s="14" t="n">
        <v>7</v>
      </c>
      <c r="M738" s="5" t="inlineStr"/>
      <c r="N738" s="5" t="inlineStr"/>
    </row>
    <row r="739">
      <c r="A739" s="13" t="inlineStr">
        <is>
          <t>0005700</t>
        </is>
      </c>
      <c r="B739" s="5" t="inlineStr">
        <is>
          <t>[0005700] MICARDIS 80MG 28TAB*****</t>
        </is>
      </c>
      <c r="C739" s="5" t="inlineStr">
        <is>
          <t>دواء</t>
        </is>
      </c>
      <c r="D739" s="13" t="inlineStr">
        <is>
          <t>06285079002092</t>
        </is>
      </c>
      <c r="E739" s="14">
        <f>L739-K739</f>
        <v/>
      </c>
      <c r="F739" s="14" t="n">
        <v>0</v>
      </c>
      <c r="G739" s="14">
        <f>F739-E739</f>
        <v/>
      </c>
      <c r="H739" s="7" t="n">
        <v>65.95</v>
      </c>
      <c r="I739" s="7">
        <f>G739*H739</f>
        <v/>
      </c>
      <c r="J739" s="16" t="inlineStr">
        <is>
          <t>لم يُجرد</t>
        </is>
      </c>
      <c r="K739" s="14" t="n">
        <v>0</v>
      </c>
      <c r="L739" s="14" t="n">
        <v>2</v>
      </c>
      <c r="M739" s="5" t="inlineStr"/>
      <c r="N739" s="5" t="inlineStr"/>
    </row>
    <row r="740">
      <c r="A740" s="13" t="inlineStr">
        <is>
          <t>00045760</t>
        </is>
      </c>
      <c r="B740" s="5" t="inlineStr">
        <is>
          <t>[00045760] AVALON CANDAN 16MG TAB</t>
        </is>
      </c>
      <c r="C740" s="5" t="inlineStr">
        <is>
          <t>دواء</t>
        </is>
      </c>
      <c r="D740" s="13" t="inlineStr">
        <is>
          <t>06285095006999</t>
        </is>
      </c>
      <c r="E740" s="14">
        <f>L740-K740</f>
        <v/>
      </c>
      <c r="F740" s="14" t="n">
        <v>0</v>
      </c>
      <c r="G740" s="14">
        <f>F740-E740</f>
        <v/>
      </c>
      <c r="H740" s="7" t="n">
        <v>45.85</v>
      </c>
      <c r="I740" s="7">
        <f>G740*H740</f>
        <v/>
      </c>
      <c r="J740" s="16" t="inlineStr">
        <is>
          <t>لم يُجرد</t>
        </is>
      </c>
      <c r="K740" s="14" t="n">
        <v>0</v>
      </c>
      <c r="L740" s="14" t="n">
        <v>3</v>
      </c>
      <c r="M740" s="5" t="inlineStr"/>
      <c r="N740" s="5" t="inlineStr"/>
    </row>
    <row r="741">
      <c r="A741" s="13" t="inlineStr">
        <is>
          <t>00013500</t>
        </is>
      </c>
      <c r="B741" s="5" t="inlineStr">
        <is>
          <t>[00013500] PANTOL 40 MG 28 TAB</t>
        </is>
      </c>
      <c r="C741" s="5" t="inlineStr">
        <is>
          <t>دواء</t>
        </is>
      </c>
      <c r="D741" s="13" t="inlineStr">
        <is>
          <t>01062810863100761011</t>
        </is>
      </c>
      <c r="E741" s="14">
        <f>L741-K741</f>
        <v/>
      </c>
      <c r="F741" s="14" t="n">
        <v>0</v>
      </c>
      <c r="G741" s="14">
        <f>F741-E741</f>
        <v/>
      </c>
      <c r="H741" s="7" t="n">
        <v>69.75</v>
      </c>
      <c r="I741" s="7">
        <f>G741*H741</f>
        <v/>
      </c>
      <c r="J741" s="16" t="inlineStr">
        <is>
          <t>لم يُجرد</t>
        </is>
      </c>
      <c r="K741" s="14" t="n">
        <v>0</v>
      </c>
      <c r="L741" s="14" t="n">
        <v>6</v>
      </c>
      <c r="M741" s="5" t="inlineStr"/>
      <c r="N741" s="5" t="inlineStr"/>
    </row>
    <row r="742">
      <c r="A742" s="13" t="inlineStr">
        <is>
          <t>00045050</t>
        </is>
      </c>
      <c r="B742" s="5" t="inlineStr">
        <is>
          <t>[00045050] MYOMED 30 TAB 9984</t>
        </is>
      </c>
      <c r="C742" s="5" t="inlineStr">
        <is>
          <t>دواء</t>
        </is>
      </c>
      <c r="D742" s="13" t="inlineStr">
        <is>
          <t>0660111459984</t>
        </is>
      </c>
      <c r="E742" s="14">
        <f>L742-K742</f>
        <v/>
      </c>
      <c r="F742" s="14" t="n">
        <v>0</v>
      </c>
      <c r="G742" s="14">
        <f>F742-E742</f>
        <v/>
      </c>
      <c r="H742" s="7" t="n">
        <v>137</v>
      </c>
      <c r="I742" s="7">
        <f>G742*H742</f>
        <v/>
      </c>
      <c r="J742" s="16" t="inlineStr">
        <is>
          <t>لم يُجرد</t>
        </is>
      </c>
      <c r="K742" s="14" t="n">
        <v>0</v>
      </c>
      <c r="L742" s="14" t="n">
        <v>1</v>
      </c>
      <c r="M742" s="5" t="inlineStr"/>
      <c r="N742" s="5" t="inlineStr"/>
    </row>
    <row r="743">
      <c r="A743" s="13" t="inlineStr">
        <is>
          <t>0005522</t>
        </is>
      </c>
      <c r="B743" s="5" t="inlineStr">
        <is>
          <t>[0005522] NASONEX 005% NASAL SPRAY****</t>
        </is>
      </c>
      <c r="C743" s="5" t="inlineStr">
        <is>
          <t>دواء</t>
        </is>
      </c>
      <c r="D743" s="13" t="inlineStr">
        <is>
          <t>00366582500544</t>
        </is>
      </c>
      <c r="E743" s="14">
        <f>L743-K743</f>
        <v/>
      </c>
      <c r="F743" s="14" t="n">
        <v>0</v>
      </c>
      <c r="G743" s="14">
        <f>F743-E743</f>
        <v/>
      </c>
      <c r="H743" s="7" t="n">
        <v>47.55</v>
      </c>
      <c r="I743" s="7">
        <f>G743*H743</f>
        <v/>
      </c>
      <c r="J743" s="16" t="inlineStr">
        <is>
          <t>لم يُجرد</t>
        </is>
      </c>
      <c r="K743" s="14" t="n">
        <v>0</v>
      </c>
      <c r="L743" s="14" t="n">
        <v>3</v>
      </c>
      <c r="M743" s="5" t="inlineStr"/>
      <c r="N743" s="5" t="inlineStr"/>
    </row>
    <row r="744">
      <c r="A744" s="13" t="inlineStr">
        <is>
          <t>00020721</t>
        </is>
      </c>
      <c r="B744" s="5" t="inlineStr">
        <is>
          <t>[00020721] OLSAR 20 MG 28 TAB WASFA</t>
        </is>
      </c>
      <c r="C744" s="5" t="inlineStr">
        <is>
          <t>دواء</t>
        </is>
      </c>
      <c r="D744" s="13" t="inlineStr"/>
      <c r="E744" s="14">
        <f>L744-K744</f>
        <v/>
      </c>
      <c r="F744" s="14" t="n">
        <v>0</v>
      </c>
      <c r="G744" s="14">
        <f>F744-E744</f>
        <v/>
      </c>
      <c r="H744" s="7" t="n">
        <v>50.35</v>
      </c>
      <c r="I744" s="7">
        <f>G744*H744</f>
        <v/>
      </c>
      <c r="J744" s="16" t="inlineStr">
        <is>
          <t>لم يُجرد</t>
        </is>
      </c>
      <c r="K744" s="14" t="n">
        <v>0</v>
      </c>
      <c r="L744" s="14" t="n">
        <v>3</v>
      </c>
      <c r="M744" s="5" t="inlineStr"/>
      <c r="N744" s="5" t="inlineStr"/>
    </row>
    <row r="745">
      <c r="A745" s="13" t="inlineStr">
        <is>
          <t>00047330</t>
        </is>
      </c>
      <c r="B745" s="5" t="inlineStr">
        <is>
          <t>[00047330] NQ ZINC 30MG 90 TAB 9067</t>
        </is>
      </c>
      <c r="C745" s="5" t="inlineStr">
        <is>
          <t>دواء</t>
        </is>
      </c>
      <c r="D745" s="13" t="inlineStr">
        <is>
          <t>728633969067</t>
        </is>
      </c>
      <c r="E745" s="14">
        <f>L745-K745</f>
        <v/>
      </c>
      <c r="F745" s="14" t="n">
        <v>0</v>
      </c>
      <c r="G745" s="14">
        <f>F745-E745</f>
        <v/>
      </c>
      <c r="H745" s="7" t="n">
        <v>95</v>
      </c>
      <c r="I745" s="7">
        <f>G745*H745</f>
        <v/>
      </c>
      <c r="J745" s="16" t="inlineStr">
        <is>
          <t>لم يُجرد</t>
        </is>
      </c>
      <c r="K745" s="14" t="n">
        <v>0</v>
      </c>
      <c r="L745" s="14" t="n">
        <v>4</v>
      </c>
      <c r="M745" s="5" t="inlineStr"/>
      <c r="N745" s="5" t="inlineStr"/>
    </row>
    <row r="746">
      <c r="A746" s="13" t="inlineStr">
        <is>
          <t>00047412</t>
        </is>
      </c>
      <c r="B746" s="5" t="inlineStr">
        <is>
          <t>[00047412] NQ PYRIDOXINE 40MG 90 TAB 0964</t>
        </is>
      </c>
      <c r="C746" s="5" t="inlineStr">
        <is>
          <t>دواء</t>
        </is>
      </c>
      <c r="D746" s="13" t="inlineStr">
        <is>
          <t>765464630964</t>
        </is>
      </c>
      <c r="E746" s="14">
        <f>L746-K746</f>
        <v/>
      </c>
      <c r="F746" s="14" t="n">
        <v>0</v>
      </c>
      <c r="G746" s="14">
        <f>F746-E746</f>
        <v/>
      </c>
      <c r="H746" s="7" t="n">
        <v>95</v>
      </c>
      <c r="I746" s="7">
        <f>G746*H746</f>
        <v/>
      </c>
      <c r="J746" s="16" t="inlineStr">
        <is>
          <t>لم يُجرد</t>
        </is>
      </c>
      <c r="K746" s="14" t="n">
        <v>0</v>
      </c>
      <c r="L746" s="14" t="n">
        <v>2</v>
      </c>
      <c r="M746" s="5" t="inlineStr"/>
      <c r="N746" s="5" t="inlineStr"/>
    </row>
    <row r="747">
      <c r="A747" s="13" t="inlineStr">
        <is>
          <t>00046580</t>
        </is>
      </c>
      <c r="B747" s="5" t="inlineStr">
        <is>
          <t>[00046580] SEQUIT 200 MG 30TAB</t>
        </is>
      </c>
      <c r="C747" s="5" t="inlineStr">
        <is>
          <t>دواء</t>
        </is>
      </c>
      <c r="D747" s="13" t="inlineStr"/>
      <c r="E747" s="14">
        <f>L747-K747</f>
        <v/>
      </c>
      <c r="F747" s="14" t="n">
        <v>0</v>
      </c>
      <c r="G747" s="14">
        <f>F747-E747</f>
        <v/>
      </c>
      <c r="H747" s="7" t="n">
        <v>68.34999999999999</v>
      </c>
      <c r="I747" s="7">
        <f>G747*H747</f>
        <v/>
      </c>
      <c r="J747" s="16" t="inlineStr">
        <is>
          <t>لم يُجرد</t>
        </is>
      </c>
      <c r="K747" s="14" t="n">
        <v>0</v>
      </c>
      <c r="L747" s="14" t="n">
        <v>2</v>
      </c>
      <c r="M747" s="5" t="inlineStr"/>
      <c r="N747" s="5" t="inlineStr"/>
    </row>
    <row r="748">
      <c r="A748" s="13" t="inlineStr">
        <is>
          <t>0005378</t>
        </is>
      </c>
      <c r="B748" s="5" t="inlineStr">
        <is>
          <t>[0005378] AZI-ONCE 200 ORAL SUSP 22.5ML</t>
        </is>
      </c>
      <c r="C748" s="5" t="inlineStr">
        <is>
          <t>دواء</t>
        </is>
      </c>
      <c r="D748" s="13" t="inlineStr">
        <is>
          <t>06285128000192</t>
        </is>
      </c>
      <c r="E748" s="14">
        <f>L748-K748</f>
        <v/>
      </c>
      <c r="F748" s="14" t="n">
        <v>0</v>
      </c>
      <c r="G748" s="14">
        <f>F748-E748</f>
        <v/>
      </c>
      <c r="H748" s="7" t="n">
        <v>33.7</v>
      </c>
      <c r="I748" s="7">
        <f>G748*H748</f>
        <v/>
      </c>
      <c r="J748" s="16" t="inlineStr">
        <is>
          <t>لم يُجرد</t>
        </is>
      </c>
      <c r="K748" s="14" t="n">
        <v>0</v>
      </c>
      <c r="L748" s="14" t="n">
        <v>6</v>
      </c>
      <c r="M748" s="5" t="inlineStr"/>
      <c r="N748" s="5" t="inlineStr"/>
    </row>
    <row r="749">
      <c r="A749" s="13" t="inlineStr">
        <is>
          <t>0005207</t>
        </is>
      </c>
      <c r="B749" s="5" t="inlineStr">
        <is>
          <t>[0005207] RESOVA 10MG 30TAB</t>
        </is>
      </c>
      <c r="C749" s="5" t="inlineStr">
        <is>
          <t>دواء</t>
        </is>
      </c>
      <c r="D749" s="13" t="inlineStr"/>
      <c r="E749" s="14">
        <f>L749-K749</f>
        <v/>
      </c>
      <c r="F749" s="14" t="n">
        <v>0</v>
      </c>
      <c r="G749" s="14">
        <f>F749-E749</f>
        <v/>
      </c>
      <c r="H749" s="7" t="n">
        <v>68.09999999999999</v>
      </c>
      <c r="I749" s="7">
        <f>G749*H749</f>
        <v/>
      </c>
      <c r="J749" s="16" t="inlineStr">
        <is>
          <t>لم يُجرد</t>
        </is>
      </c>
      <c r="K749" s="14" t="n">
        <v>0</v>
      </c>
      <c r="L749" s="14" t="n">
        <v>2</v>
      </c>
      <c r="M749" s="5" t="inlineStr"/>
      <c r="N749" s="5" t="inlineStr"/>
    </row>
    <row r="750">
      <c r="A750" s="13" t="inlineStr">
        <is>
          <t>0004876</t>
        </is>
      </c>
      <c r="B750" s="5" t="inlineStr">
        <is>
          <t>[0004876] SIMVA 40 MG 30 TABLETS WASFA</t>
        </is>
      </c>
      <c r="C750" s="5" t="inlineStr">
        <is>
          <t>دواء</t>
        </is>
      </c>
      <c r="D750" s="13" t="inlineStr">
        <is>
          <t>010628512800084010ud</t>
        </is>
      </c>
      <c r="E750" s="14">
        <f>L750-K750</f>
        <v/>
      </c>
      <c r="F750" s="14" t="n">
        <v>0</v>
      </c>
      <c r="G750" s="14">
        <f>F750-E750</f>
        <v/>
      </c>
      <c r="H750" s="7" t="n">
        <v>65.15000000000001</v>
      </c>
      <c r="I750" s="7">
        <f>G750*H750</f>
        <v/>
      </c>
      <c r="J750" s="16" t="inlineStr">
        <is>
          <t>لم يُجرد</t>
        </is>
      </c>
      <c r="K750" s="14" t="n">
        <v>0</v>
      </c>
      <c r="L750" s="14" t="n">
        <v>2</v>
      </c>
      <c r="M750" s="5" t="inlineStr"/>
      <c r="N750" s="5" t="inlineStr"/>
    </row>
    <row r="751">
      <c r="A751" s="13" t="inlineStr">
        <is>
          <t>0003835</t>
        </is>
      </c>
      <c r="B751" s="5" t="inlineStr">
        <is>
          <t>[0003835] AMARYL 2 MG 30 TAB TMR</t>
        </is>
      </c>
      <c r="C751" s="5" t="inlineStr">
        <is>
          <t>دواء</t>
        </is>
      </c>
      <c r="D751" s="13" t="inlineStr"/>
      <c r="E751" s="14">
        <f>L751-K751</f>
        <v/>
      </c>
      <c r="F751" s="14" t="n">
        <v>0</v>
      </c>
      <c r="G751" s="14">
        <f>F751-E751</f>
        <v/>
      </c>
      <c r="H751" s="7" t="n">
        <v>33.9</v>
      </c>
      <c r="I751" s="7">
        <f>G751*H751</f>
        <v/>
      </c>
      <c r="J751" s="16" t="inlineStr">
        <is>
          <t>لم يُجرد</t>
        </is>
      </c>
      <c r="K751" s="14" t="n">
        <v>0</v>
      </c>
      <c r="L751" s="14" t="n">
        <v>4</v>
      </c>
      <c r="M751" s="5" t="inlineStr"/>
      <c r="N751" s="5" t="inlineStr"/>
    </row>
    <row r="752">
      <c r="A752" s="13" t="inlineStr">
        <is>
          <t>0003418</t>
        </is>
      </c>
      <c r="B752" s="5" t="inlineStr">
        <is>
          <t>[0003418] IMODIUM 6 CAPS</t>
        </is>
      </c>
      <c r="C752" s="5" t="inlineStr">
        <is>
          <t>دواء</t>
        </is>
      </c>
      <c r="D752" s="13" t="inlineStr">
        <is>
          <t>01035746612288601721</t>
        </is>
      </c>
      <c r="E752" s="14">
        <f>L752-K752</f>
        <v/>
      </c>
      <c r="F752" s="14" t="n">
        <v>0</v>
      </c>
      <c r="G752" s="14">
        <f>F752-E752</f>
        <v/>
      </c>
      <c r="H752" s="7" t="n">
        <v>6.45</v>
      </c>
      <c r="I752" s="7">
        <f>G752*H752</f>
        <v/>
      </c>
      <c r="J752" s="16" t="inlineStr">
        <is>
          <t>لم يُجرد</t>
        </is>
      </c>
      <c r="K752" s="14" t="n">
        <v>0</v>
      </c>
      <c r="L752" s="14" t="n">
        <v>21</v>
      </c>
      <c r="M752" s="5" t="inlineStr"/>
      <c r="N752" s="5" t="inlineStr"/>
    </row>
    <row r="753">
      <c r="A753" s="13" t="inlineStr">
        <is>
          <t>0005384</t>
        </is>
      </c>
      <c r="B753" s="5" t="inlineStr">
        <is>
          <t>[0005384] AZIMAC 500 MG 3S TAB</t>
        </is>
      </c>
      <c r="C753" s="5" t="inlineStr">
        <is>
          <t>دواء</t>
        </is>
      </c>
      <c r="D753" s="13" t="inlineStr">
        <is>
          <t>06281080010552</t>
        </is>
      </c>
      <c r="E753" s="14">
        <f>L753-K753</f>
        <v/>
      </c>
      <c r="F753" s="14" t="n">
        <v>0</v>
      </c>
      <c r="G753" s="14">
        <f>F753-E753</f>
        <v/>
      </c>
      <c r="H753" s="7" t="n">
        <v>50</v>
      </c>
      <c r="I753" s="7">
        <f>G753*H753</f>
        <v/>
      </c>
      <c r="J753" s="16" t="inlineStr">
        <is>
          <t>لم يُجرد</t>
        </is>
      </c>
      <c r="K753" s="14" t="n">
        <v>0</v>
      </c>
      <c r="L753" s="14" t="n">
        <v>16</v>
      </c>
      <c r="M753" s="5" t="inlineStr"/>
      <c r="N753" s="5" t="inlineStr"/>
    </row>
    <row r="754">
      <c r="A754" s="13" t="inlineStr">
        <is>
          <t>0003783</t>
        </is>
      </c>
      <c r="B754" s="5" t="inlineStr">
        <is>
          <t>[0003783] AMLOPINE 10MG 30CAPS</t>
        </is>
      </c>
      <c r="C754" s="5" t="inlineStr">
        <is>
          <t>دواء</t>
        </is>
      </c>
      <c r="D754" s="13" t="inlineStr">
        <is>
          <t>06281086012529</t>
        </is>
      </c>
      <c r="E754" s="14">
        <f>L754-K754</f>
        <v/>
      </c>
      <c r="F754" s="14" t="n">
        <v>0</v>
      </c>
      <c r="G754" s="14">
        <f>F754-E754</f>
        <v/>
      </c>
      <c r="H754" s="7" t="n">
        <v>64.40000000000001</v>
      </c>
      <c r="I754" s="7">
        <f>G754*H754</f>
        <v/>
      </c>
      <c r="J754" s="16" t="inlineStr">
        <is>
          <t>لم يُجرد</t>
        </is>
      </c>
      <c r="K754" s="14" t="n">
        <v>0</v>
      </c>
      <c r="L754" s="14" t="n">
        <v>2</v>
      </c>
      <c r="M754" s="5" t="inlineStr"/>
      <c r="N754" s="5" t="inlineStr"/>
    </row>
    <row r="755">
      <c r="A755" s="13" t="inlineStr">
        <is>
          <t>00046892</t>
        </is>
      </c>
      <c r="B755" s="5" t="inlineStr">
        <is>
          <t>[00046892] BIOFAR CALCIUM VITAMIN D3 6121</t>
        </is>
      </c>
      <c r="C755" s="5" t="inlineStr">
        <is>
          <t>دواء</t>
        </is>
      </c>
      <c r="D755" s="13" t="inlineStr">
        <is>
          <t>3760049896121</t>
        </is>
      </c>
      <c r="E755" s="14">
        <f>L755-K755</f>
        <v/>
      </c>
      <c r="F755" s="14" t="n">
        <v>0</v>
      </c>
      <c r="G755" s="14">
        <f>F755-E755</f>
        <v/>
      </c>
      <c r="H755" s="7" t="n">
        <v>35</v>
      </c>
      <c r="I755" s="7">
        <f>G755*H755</f>
        <v/>
      </c>
      <c r="J755" s="16" t="inlineStr">
        <is>
          <t>لم يُجرد</t>
        </is>
      </c>
      <c r="K755" s="14" t="n">
        <v>0</v>
      </c>
      <c r="L755" s="14" t="n">
        <v>4</v>
      </c>
      <c r="M755" s="5" t="inlineStr"/>
      <c r="N755" s="5" t="inlineStr"/>
    </row>
    <row r="756">
      <c r="A756" s="13" t="inlineStr">
        <is>
          <t>0004126</t>
        </is>
      </c>
      <c r="B756" s="5" t="inlineStr">
        <is>
          <t>[0004126] ADOL EXTRA TAB</t>
        </is>
      </c>
      <c r="C756" s="5" t="inlineStr">
        <is>
          <t>دواء</t>
        </is>
      </c>
      <c r="D756" s="13" t="inlineStr">
        <is>
          <t>06291100080557</t>
        </is>
      </c>
      <c r="E756" s="14">
        <f>L756-K756</f>
        <v/>
      </c>
      <c r="F756" s="14" t="n">
        <v>0</v>
      </c>
      <c r="G756" s="14">
        <f>F756-E756</f>
        <v/>
      </c>
      <c r="H756" s="7" t="n">
        <v>6.4</v>
      </c>
      <c r="I756" s="7">
        <f>G756*H756</f>
        <v/>
      </c>
      <c r="J756" s="16" t="inlineStr">
        <is>
          <t>لم يُجرد</t>
        </is>
      </c>
      <c r="K756" s="14" t="n">
        <v>0</v>
      </c>
      <c r="L756" s="14" t="n">
        <v>21</v>
      </c>
      <c r="M756" s="5" t="inlineStr"/>
      <c r="N756" s="5" t="inlineStr"/>
    </row>
    <row r="757">
      <c r="A757" s="13" t="inlineStr">
        <is>
          <t>00048507</t>
        </is>
      </c>
      <c r="B757" s="5" t="inlineStr">
        <is>
          <t>[00048507] ARAX MARINE 30 CAPS 2185</t>
        </is>
      </c>
      <c r="C757" s="5" t="inlineStr">
        <is>
          <t>دواء</t>
        </is>
      </c>
      <c r="D757" s="13" t="inlineStr">
        <is>
          <t>0753287202185</t>
        </is>
      </c>
      <c r="E757" s="14">
        <f>L757-K757</f>
        <v/>
      </c>
      <c r="F757" s="14" t="n">
        <v>0</v>
      </c>
      <c r="G757" s="14">
        <f>F757-E757</f>
        <v/>
      </c>
      <c r="H757" s="7" t="n">
        <v>130</v>
      </c>
      <c r="I757" s="7">
        <f>G757*H757</f>
        <v/>
      </c>
      <c r="J757" s="16" t="inlineStr">
        <is>
          <t>لم يُجرد</t>
        </is>
      </c>
      <c r="K757" s="14" t="n">
        <v>0</v>
      </c>
      <c r="L757" s="14" t="n">
        <v>2</v>
      </c>
      <c r="M757" s="5" t="inlineStr"/>
      <c r="N757" s="5" t="inlineStr"/>
    </row>
    <row r="758">
      <c r="A758" s="13" t="inlineStr">
        <is>
          <t>00014981</t>
        </is>
      </c>
      <c r="B758" s="5" t="inlineStr">
        <is>
          <t>[00014981] OLENZA OD 5 MG TAB</t>
        </is>
      </c>
      <c r="C758" s="5" t="inlineStr">
        <is>
          <t>دواء</t>
        </is>
      </c>
      <c r="D758" s="13" t="inlineStr"/>
      <c r="E758" s="14">
        <f>L758-K758</f>
        <v/>
      </c>
      <c r="F758" s="14" t="n">
        <v>0</v>
      </c>
      <c r="G758" s="14">
        <f>F758-E758</f>
        <v/>
      </c>
      <c r="H758" s="7" t="n">
        <v>128.4</v>
      </c>
      <c r="I758" s="7">
        <f>G758*H758</f>
        <v/>
      </c>
      <c r="J758" s="16" t="inlineStr">
        <is>
          <t>لم يُجرد</t>
        </is>
      </c>
      <c r="K758" s="14" t="n">
        <v>0</v>
      </c>
      <c r="L758" s="14" t="n">
        <v>1</v>
      </c>
      <c r="M758" s="5" t="inlineStr"/>
      <c r="N758" s="5" t="inlineStr"/>
    </row>
    <row r="759">
      <c r="A759" s="13" t="inlineStr">
        <is>
          <t>00039672</t>
        </is>
      </c>
      <c r="B759" s="5" t="inlineStr">
        <is>
          <t>[00039672] OCEAN BIO-ACTIF BARRIER 30ML NASAL SPRAY</t>
        </is>
      </c>
      <c r="C759" s="5" t="inlineStr">
        <is>
          <t>دواء</t>
        </is>
      </c>
      <c r="D759" s="13" t="inlineStr">
        <is>
          <t>3760132700625</t>
        </is>
      </c>
      <c r="E759" s="14">
        <f>L759-K759</f>
        <v/>
      </c>
      <c r="F759" s="14" t="n">
        <v>0</v>
      </c>
      <c r="G759" s="14">
        <f>F759-E759</f>
        <v/>
      </c>
      <c r="H759" s="7" t="n">
        <v>58</v>
      </c>
      <c r="I759" s="7">
        <f>G759*H759</f>
        <v/>
      </c>
      <c r="J759" s="16" t="inlineStr">
        <is>
          <t>لم يُجرد</t>
        </is>
      </c>
      <c r="K759" s="14" t="n">
        <v>0</v>
      </c>
      <c r="L759" s="14" t="n">
        <v>3</v>
      </c>
      <c r="M759" s="5" t="inlineStr"/>
      <c r="N759" s="5" t="inlineStr"/>
    </row>
    <row r="760">
      <c r="A760" s="13" t="inlineStr">
        <is>
          <t>0004230</t>
        </is>
      </c>
      <c r="B760" s="5" t="inlineStr">
        <is>
          <t>[0004230] CIPROBAY 500MG 10TAB</t>
        </is>
      </c>
      <c r="C760" s="5" t="inlineStr">
        <is>
          <t>دواء</t>
        </is>
      </c>
      <c r="D760" s="13" t="inlineStr">
        <is>
          <t>01062850740013111719</t>
        </is>
      </c>
      <c r="E760" s="14">
        <f>L760-K760</f>
        <v/>
      </c>
      <c r="F760" s="14" t="n">
        <v>0</v>
      </c>
      <c r="G760" s="14">
        <f>F760-E760</f>
        <v/>
      </c>
      <c r="H760" s="7" t="n">
        <v>63.85</v>
      </c>
      <c r="I760" s="7">
        <f>G760*H760</f>
        <v/>
      </c>
      <c r="J760" s="16" t="inlineStr">
        <is>
          <t>لم يُجرد</t>
        </is>
      </c>
      <c r="K760" s="14" t="n">
        <v>0</v>
      </c>
      <c r="L760" s="14" t="n">
        <v>2</v>
      </c>
      <c r="M760" s="5" t="inlineStr"/>
      <c r="N760" s="5" t="inlineStr"/>
    </row>
    <row r="761">
      <c r="A761" s="13" t="inlineStr">
        <is>
          <t>00039351</t>
        </is>
      </c>
      <c r="B761" s="5" t="inlineStr">
        <is>
          <t>[00039351] ZOXTA 80MG 30TAB ZIMMO</t>
        </is>
      </c>
      <c r="C761" s="5" t="inlineStr">
        <is>
          <t>دواء</t>
        </is>
      </c>
      <c r="D761" s="13" t="inlineStr"/>
      <c r="E761" s="14">
        <f>L761-K761</f>
        <v/>
      </c>
      <c r="F761" s="14" t="n">
        <v>0</v>
      </c>
      <c r="G761" s="14">
        <f>F761-E761</f>
        <v/>
      </c>
      <c r="H761" s="7" t="n">
        <v>63.6</v>
      </c>
      <c r="I761" s="7">
        <f>G761*H761</f>
        <v/>
      </c>
      <c r="J761" s="16" t="inlineStr">
        <is>
          <t>لم يُجرد</t>
        </is>
      </c>
      <c r="K761" s="14" t="n">
        <v>0</v>
      </c>
      <c r="L761" s="14" t="n">
        <v>2</v>
      </c>
      <c r="M761" s="5" t="inlineStr"/>
      <c r="N761" s="5" t="inlineStr"/>
    </row>
    <row r="762">
      <c r="A762" s="13" t="inlineStr">
        <is>
          <t>00039354</t>
        </is>
      </c>
      <c r="B762" s="5" t="inlineStr">
        <is>
          <t>[00039354] ZOXTA 40MG 30TAB ZIMMO</t>
        </is>
      </c>
      <c r="C762" s="5" t="inlineStr">
        <is>
          <t>دواء</t>
        </is>
      </c>
      <c r="D762" s="13" t="inlineStr"/>
      <c r="E762" s="14">
        <f>L762-K762</f>
        <v/>
      </c>
      <c r="F762" s="14" t="n">
        <v>0</v>
      </c>
      <c r="G762" s="14">
        <f>F762-E762</f>
        <v/>
      </c>
      <c r="H762" s="7" t="n">
        <v>63.6</v>
      </c>
      <c r="I762" s="7">
        <f>G762*H762</f>
        <v/>
      </c>
      <c r="J762" s="16" t="inlineStr">
        <is>
          <t>لم يُجرد</t>
        </is>
      </c>
      <c r="K762" s="14" t="n">
        <v>0</v>
      </c>
      <c r="L762" s="14" t="n">
        <v>2</v>
      </c>
      <c r="M762" s="5" t="inlineStr"/>
      <c r="N762" s="5" t="inlineStr"/>
    </row>
    <row r="763">
      <c r="A763" s="13" t="inlineStr">
        <is>
          <t>0003516</t>
        </is>
      </c>
      <c r="B763" s="5" t="inlineStr">
        <is>
          <t>[0003516] GYNO CANDIZOL 400 MG 3 VAG CAP</t>
        </is>
      </c>
      <c r="C763" s="5" t="inlineStr">
        <is>
          <t>دواء</t>
        </is>
      </c>
      <c r="D763" s="13" t="inlineStr"/>
      <c r="E763" s="14">
        <f>L763-K763</f>
        <v/>
      </c>
      <c r="F763" s="14" t="n">
        <v>0</v>
      </c>
      <c r="G763" s="14">
        <f>F763-E763</f>
        <v/>
      </c>
      <c r="H763" s="7" t="n">
        <v>11</v>
      </c>
      <c r="I763" s="7">
        <f>G763*H763</f>
        <v/>
      </c>
      <c r="J763" s="16" t="inlineStr">
        <is>
          <t>لم يُجرد</t>
        </is>
      </c>
      <c r="K763" s="14" t="n">
        <v>0</v>
      </c>
      <c r="L763" s="14" t="n">
        <v>12</v>
      </c>
      <c r="M763" s="5" t="inlineStr"/>
      <c r="N763" s="5" t="inlineStr"/>
    </row>
    <row r="764">
      <c r="A764" s="13" t="inlineStr">
        <is>
          <t>0000068860</t>
        </is>
      </c>
      <c r="B764" s="5" t="inlineStr">
        <is>
          <t>[0000068860] ASHWAGNOOR SHOTS 60ML 1169</t>
        </is>
      </c>
      <c r="C764" s="5" t="inlineStr">
        <is>
          <t>دواء</t>
        </is>
      </c>
      <c r="D764" s="13" t="inlineStr">
        <is>
          <t>765464631169</t>
        </is>
      </c>
      <c r="E764" s="14">
        <f>L764-K764</f>
        <v/>
      </c>
      <c r="F764" s="14" t="n">
        <v>0</v>
      </c>
      <c r="G764" s="14">
        <f>F764-E764</f>
        <v/>
      </c>
      <c r="H764" s="7" t="n">
        <v>25</v>
      </c>
      <c r="I764" s="7">
        <f>G764*H764</f>
        <v/>
      </c>
      <c r="J764" s="16" t="inlineStr">
        <is>
          <t>لم يُجرد</t>
        </is>
      </c>
      <c r="K764" s="14" t="n">
        <v>0</v>
      </c>
      <c r="L764" s="14" t="n">
        <v>11</v>
      </c>
      <c r="M764" s="5" t="inlineStr"/>
      <c r="N764" s="5" t="inlineStr"/>
    </row>
    <row r="765">
      <c r="A765" s="13" t="inlineStr">
        <is>
          <t>00025775</t>
        </is>
      </c>
      <c r="B765" s="5" t="inlineStr">
        <is>
          <t>[00025775] MARNYS ROYAL 6587DRINK 20VIALS</t>
        </is>
      </c>
      <c r="C765" s="5" t="inlineStr">
        <is>
          <t>دواء</t>
        </is>
      </c>
      <c r="D765" s="13" t="inlineStr">
        <is>
          <t>8410885086587</t>
        </is>
      </c>
      <c r="E765" s="14">
        <f>L765-K765</f>
        <v/>
      </c>
      <c r="F765" s="14" t="n">
        <v>0</v>
      </c>
      <c r="G765" s="14">
        <f>F765-E765</f>
        <v/>
      </c>
      <c r="H765" s="7" t="n">
        <v>100</v>
      </c>
      <c r="I765" s="7">
        <f>G765*H765</f>
        <v/>
      </c>
      <c r="J765" s="16" t="inlineStr">
        <is>
          <t>لم يُجرد</t>
        </is>
      </c>
      <c r="K765" s="14" t="n">
        <v>0</v>
      </c>
      <c r="L765" s="14" t="n">
        <v>2</v>
      </c>
      <c r="M765" s="5" t="inlineStr"/>
      <c r="N765" s="5" t="inlineStr"/>
    </row>
    <row r="766">
      <c r="A766" s="13" t="inlineStr">
        <is>
          <t>00033045</t>
        </is>
      </c>
      <c r="B766" s="5" t="inlineStr">
        <is>
          <t>[00033045] JP PRIMA D3 2000 I.U SOFT CAP</t>
        </is>
      </c>
      <c r="C766" s="5" t="inlineStr">
        <is>
          <t>دواء</t>
        </is>
      </c>
      <c r="D766" s="13" t="inlineStr">
        <is>
          <t>06285128006583</t>
        </is>
      </c>
      <c r="E766" s="14">
        <f>L766-K766</f>
        <v/>
      </c>
      <c r="F766" s="14" t="n">
        <v>0</v>
      </c>
      <c r="G766" s="14">
        <f>F766-E766</f>
        <v/>
      </c>
      <c r="H766" s="7" t="n">
        <v>33</v>
      </c>
      <c r="I766" s="7">
        <f>G766*H766</f>
        <v/>
      </c>
      <c r="J766" s="16" t="inlineStr">
        <is>
          <t>لم يُجرد</t>
        </is>
      </c>
      <c r="K766" s="14" t="n">
        <v>0</v>
      </c>
      <c r="L766" s="14" t="n">
        <v>4</v>
      </c>
      <c r="M766" s="5" t="inlineStr"/>
      <c r="N766" s="5" t="inlineStr"/>
    </row>
    <row r="767">
      <c r="A767" s="13" t="inlineStr">
        <is>
          <t>00035084</t>
        </is>
      </c>
      <c r="B767" s="5" t="inlineStr">
        <is>
          <t>[00035084] PANTHEDAL 30GRAM  CREAM  DALLAH</t>
        </is>
      </c>
      <c r="C767" s="5" t="inlineStr">
        <is>
          <t>دواء</t>
        </is>
      </c>
      <c r="D767" s="13" t="inlineStr">
        <is>
          <t>6285119001283</t>
        </is>
      </c>
      <c r="E767" s="14">
        <f>L767-K767</f>
        <v/>
      </c>
      <c r="F767" s="14" t="n">
        <v>0</v>
      </c>
      <c r="G767" s="14">
        <f>F767-E767</f>
        <v/>
      </c>
      <c r="H767" s="7" t="n">
        <v>22</v>
      </c>
      <c r="I767" s="7">
        <f>G767*H767</f>
        <v/>
      </c>
      <c r="J767" s="16" t="inlineStr">
        <is>
          <t>لم يُجرد</t>
        </is>
      </c>
      <c r="K767" s="14" t="n">
        <v>0</v>
      </c>
      <c r="L767" s="14" t="n">
        <v>6</v>
      </c>
      <c r="M767" s="5" t="inlineStr"/>
      <c r="N767" s="5" t="inlineStr"/>
    </row>
    <row r="768">
      <c r="A768" s="13" t="inlineStr">
        <is>
          <t>00033494</t>
        </is>
      </c>
      <c r="B768" s="5" t="inlineStr">
        <is>
          <t>[00033494] MEVA 200MG SR CAP</t>
        </is>
      </c>
      <c r="C768" s="5" t="inlineStr">
        <is>
          <t>دواء</t>
        </is>
      </c>
      <c r="D768" s="13" t="inlineStr"/>
      <c r="E768" s="14">
        <f>L768-K768</f>
        <v/>
      </c>
      <c r="F768" s="14" t="n">
        <v>0</v>
      </c>
      <c r="G768" s="14">
        <f>F768-E768</f>
        <v/>
      </c>
      <c r="H768" s="7" t="n">
        <v>40.9</v>
      </c>
      <c r="I768" s="7">
        <f>G768*H768</f>
        <v/>
      </c>
      <c r="J768" s="16" t="inlineStr">
        <is>
          <t>لم يُجرد</t>
        </is>
      </c>
      <c r="K768" s="14" t="n">
        <v>0</v>
      </c>
      <c r="L768" s="14" t="n">
        <v>5</v>
      </c>
      <c r="M768" s="5" t="inlineStr"/>
      <c r="N768" s="5" t="inlineStr"/>
    </row>
    <row r="769">
      <c r="A769" s="13" t="inlineStr">
        <is>
          <t>0003180</t>
        </is>
      </c>
      <c r="B769" s="5" t="inlineStr">
        <is>
          <t>[0003180] AVALON ANTISEPTIC SOL 10% 135ML</t>
        </is>
      </c>
      <c r="C769" s="5" t="inlineStr">
        <is>
          <t>دواء</t>
        </is>
      </c>
      <c r="D769" s="13" t="inlineStr">
        <is>
          <t>06285095002267</t>
        </is>
      </c>
      <c r="E769" s="14">
        <f>L769-K769</f>
        <v/>
      </c>
      <c r="F769" s="14" t="n">
        <v>0</v>
      </c>
      <c r="G769" s="14">
        <f>F769-E769</f>
        <v/>
      </c>
      <c r="H769" s="7" t="n">
        <v>45</v>
      </c>
      <c r="I769" s="7">
        <f>G769*H769</f>
        <v/>
      </c>
      <c r="J769" s="16" t="inlineStr">
        <is>
          <t>لم يُجرد</t>
        </is>
      </c>
      <c r="K769" s="14" t="n">
        <v>0</v>
      </c>
      <c r="L769" s="14" t="n">
        <v>6</v>
      </c>
      <c r="M769" s="5" t="inlineStr"/>
      <c r="N769" s="5" t="inlineStr"/>
    </row>
    <row r="770">
      <c r="A770" s="13" t="inlineStr">
        <is>
          <t>0003385</t>
        </is>
      </c>
      <c r="B770" s="5" t="inlineStr">
        <is>
          <t>[0003385] JOINTACE COLLAGEN 60CAP</t>
        </is>
      </c>
      <c r="C770" s="5" t="inlineStr">
        <is>
          <t>دواء</t>
        </is>
      </c>
      <c r="D770" s="13" t="inlineStr">
        <is>
          <t>5021265245918</t>
        </is>
      </c>
      <c r="E770" s="14">
        <f>L770-K770</f>
        <v/>
      </c>
      <c r="F770" s="14" t="n">
        <v>0</v>
      </c>
      <c r="G770" s="14">
        <f>F770-E770</f>
        <v/>
      </c>
      <c r="H770" s="7" t="n">
        <v>54.6</v>
      </c>
      <c r="I770" s="7">
        <f>G770*H770</f>
        <v/>
      </c>
      <c r="J770" s="16" t="inlineStr">
        <is>
          <t>لم يُجرد</t>
        </is>
      </c>
      <c r="K770" s="14" t="n">
        <v>0</v>
      </c>
      <c r="L770" s="14" t="n">
        <v>3</v>
      </c>
      <c r="M770" s="5" t="inlineStr"/>
      <c r="N770" s="5" t="inlineStr"/>
    </row>
    <row r="771">
      <c r="A771" s="13" t="inlineStr">
        <is>
          <t>00034086</t>
        </is>
      </c>
      <c r="B771" s="5" t="inlineStr">
        <is>
          <t>[00034086] STERIMAR BLOCKED N ADULT SPRAY 100ML.</t>
        </is>
      </c>
      <c r="C771" s="5" t="inlineStr">
        <is>
          <t>دواء</t>
        </is>
      </c>
      <c r="D771" s="13" t="inlineStr">
        <is>
          <t>3331300097245</t>
        </is>
      </c>
      <c r="E771" s="14">
        <f>L771-K771</f>
        <v/>
      </c>
      <c r="F771" s="14" t="n">
        <v>0</v>
      </c>
      <c r="G771" s="14">
        <f>F771-E771</f>
        <v/>
      </c>
      <c r="H771" s="7" t="n">
        <v>49.35</v>
      </c>
      <c r="I771" s="7">
        <f>G771*H771</f>
        <v/>
      </c>
      <c r="J771" s="16" t="inlineStr">
        <is>
          <t>لم يُجرد</t>
        </is>
      </c>
      <c r="K771" s="14" t="n">
        <v>0</v>
      </c>
      <c r="L771" s="14" t="n">
        <v>5</v>
      </c>
      <c r="M771" s="5" t="inlineStr"/>
      <c r="N771" s="5" t="inlineStr"/>
    </row>
    <row r="772">
      <c r="A772" s="13" t="inlineStr">
        <is>
          <t>00045049</t>
        </is>
      </c>
      <c r="B772" s="5" t="inlineStr">
        <is>
          <t>[00045049] REDOXON 2325 1GM BAY 2 WITH 15%DISC</t>
        </is>
      </c>
      <c r="C772" s="5" t="inlineStr">
        <is>
          <t>دواء</t>
        </is>
      </c>
      <c r="D772" s="13" t="inlineStr">
        <is>
          <t>6285074002325</t>
        </is>
      </c>
      <c r="E772" s="14">
        <f>L772-K772</f>
        <v/>
      </c>
      <c r="F772" s="14" t="n">
        <v>0</v>
      </c>
      <c r="G772" s="14">
        <f>F772-E772</f>
        <v/>
      </c>
      <c r="H772" s="7" t="n">
        <v>42.5</v>
      </c>
      <c r="I772" s="7">
        <f>G772*H772</f>
        <v/>
      </c>
      <c r="J772" s="16" t="inlineStr">
        <is>
          <t>لم يُجرد</t>
        </is>
      </c>
      <c r="K772" s="14" t="n">
        <v>0</v>
      </c>
      <c r="L772" s="14" t="n">
        <v>3</v>
      </c>
      <c r="M772" s="5" t="inlineStr"/>
      <c r="N772" s="5" t="inlineStr"/>
    </row>
    <row r="773">
      <c r="A773" s="13" t="inlineStr">
        <is>
          <t>0005399</t>
        </is>
      </c>
      <c r="B773" s="5" t="inlineStr">
        <is>
          <t>[0005399] OLAZINE 5MG 28TAB</t>
        </is>
      </c>
      <c r="C773" s="5" t="inlineStr">
        <is>
          <t>دواء</t>
        </is>
      </c>
      <c r="D773" s="13" t="inlineStr"/>
      <c r="E773" s="14">
        <f>L773-K773</f>
        <v/>
      </c>
      <c r="F773" s="14" t="n">
        <v>0</v>
      </c>
      <c r="G773" s="14">
        <f>F773-E773</f>
        <v/>
      </c>
      <c r="H773" s="7" t="n">
        <v>156.8</v>
      </c>
      <c r="I773" s="7">
        <f>G773*H773</f>
        <v/>
      </c>
      <c r="J773" s="16" t="inlineStr">
        <is>
          <t>لم يُجرد</t>
        </is>
      </c>
      <c r="K773" s="14" t="n">
        <v>0</v>
      </c>
      <c r="L773" s="14" t="n">
        <v>1</v>
      </c>
      <c r="M773" s="5" t="inlineStr"/>
      <c r="N773" s="5" t="inlineStr"/>
    </row>
    <row r="774">
      <c r="A774" s="13" t="inlineStr">
        <is>
          <t>0004917</t>
        </is>
      </c>
      <c r="B774" s="5" t="inlineStr">
        <is>
          <t>[0004917] BABYLYTE ORAL SOLUTION 240ML Q0050</t>
        </is>
      </c>
      <c r="C774" s="5" t="inlineStr">
        <is>
          <t>دواء</t>
        </is>
      </c>
      <c r="D774" s="13" t="inlineStr">
        <is>
          <t>6280656276828</t>
        </is>
      </c>
      <c r="E774" s="14">
        <f>L774-K774</f>
        <v/>
      </c>
      <c r="F774" s="14" t="n">
        <v>0</v>
      </c>
      <c r="G774" s="14">
        <f>F774-E774</f>
        <v/>
      </c>
      <c r="H774" s="7" t="n">
        <v>10</v>
      </c>
      <c r="I774" s="7">
        <f>G774*H774</f>
        <v/>
      </c>
      <c r="J774" s="16" t="inlineStr">
        <is>
          <t>لم يُجرد</t>
        </is>
      </c>
      <c r="K774" s="14" t="n">
        <v>0</v>
      </c>
      <c r="L774" s="14" t="n">
        <v>13</v>
      </c>
      <c r="M774" s="5" t="inlineStr"/>
      <c r="N774" s="5" t="inlineStr"/>
    </row>
    <row r="775">
      <c r="A775" s="13" t="inlineStr">
        <is>
          <t>0005813</t>
        </is>
      </c>
      <c r="B775" s="5" t="inlineStr">
        <is>
          <t>[0005813] LORVAST 20MG 30TAB*****</t>
        </is>
      </c>
      <c r="C775" s="5" t="inlineStr">
        <is>
          <t>دواء</t>
        </is>
      </c>
      <c r="D775" s="13" t="inlineStr">
        <is>
          <t>06285147002108</t>
        </is>
      </c>
      <c r="E775" s="14">
        <f>L775-K775</f>
        <v/>
      </c>
      <c r="F775" s="14" t="n">
        <v>0</v>
      </c>
      <c r="G775" s="14">
        <f>F775-E775</f>
        <v/>
      </c>
      <c r="H775" s="7" t="n">
        <v>43.45</v>
      </c>
      <c r="I775" s="7">
        <f>G775*H775</f>
        <v/>
      </c>
      <c r="J775" s="16" t="inlineStr">
        <is>
          <t>لم يُجرد</t>
        </is>
      </c>
      <c r="K775" s="14" t="n">
        <v>0</v>
      </c>
      <c r="L775" s="14" t="n">
        <v>3</v>
      </c>
      <c r="M775" s="5" t="inlineStr"/>
      <c r="N775" s="5" t="inlineStr"/>
    </row>
    <row r="776">
      <c r="A776" s="13" t="inlineStr">
        <is>
          <t>00045816</t>
        </is>
      </c>
      <c r="B776" s="5" t="inlineStr">
        <is>
          <t>[00045816] CODURO 20MG 4TAB</t>
        </is>
      </c>
      <c r="C776" s="5" t="inlineStr">
        <is>
          <t>دواء</t>
        </is>
      </c>
      <c r="D776" s="13" t="inlineStr"/>
      <c r="E776" s="14">
        <f>L776-K776</f>
        <v/>
      </c>
      <c r="F776" s="14" t="n">
        <v>0</v>
      </c>
      <c r="G776" s="14">
        <f>F776-E776</f>
        <v/>
      </c>
      <c r="H776" s="7" t="n">
        <v>64.84999999999999</v>
      </c>
      <c r="I776" s="7">
        <f>G776*H776</f>
        <v/>
      </c>
      <c r="J776" s="16" t="inlineStr">
        <is>
          <t>لم يُجرد</t>
        </is>
      </c>
      <c r="K776" s="14" t="n">
        <v>0</v>
      </c>
      <c r="L776" s="14" t="n">
        <v>2</v>
      </c>
      <c r="M776" s="5" t="inlineStr"/>
      <c r="N776" s="5" t="inlineStr"/>
    </row>
    <row r="777">
      <c r="A777" s="13" t="inlineStr">
        <is>
          <t>00048249</t>
        </is>
      </c>
      <c r="B777" s="5" t="inlineStr">
        <is>
          <t>[00048249] PANTOGAR VEGAN 90 CAP 0278 GOSAIBI</t>
        </is>
      </c>
      <c r="C777" s="5" t="inlineStr">
        <is>
          <t>دواء</t>
        </is>
      </c>
      <c r="D777" s="13" t="inlineStr">
        <is>
          <t>4046222100278</t>
        </is>
      </c>
      <c r="E777" s="14">
        <f>L777-K777</f>
        <v/>
      </c>
      <c r="F777" s="14" t="n">
        <v>0</v>
      </c>
      <c r="G777" s="14">
        <f>F777-E777</f>
        <v/>
      </c>
      <c r="H777" s="7" t="n">
        <v>124</v>
      </c>
      <c r="I777" s="7">
        <f>G777*H777</f>
        <v/>
      </c>
      <c r="J777" s="16" t="inlineStr">
        <is>
          <t>لم يُجرد</t>
        </is>
      </c>
      <c r="K777" s="14" t="n">
        <v>0</v>
      </c>
      <c r="L777" s="14" t="n">
        <v>1</v>
      </c>
      <c r="M777" s="5" t="inlineStr"/>
      <c r="N777" s="5" t="inlineStr"/>
    </row>
    <row r="778">
      <c r="A778" s="13" t="inlineStr">
        <is>
          <t>0005667</t>
        </is>
      </c>
      <c r="B778" s="5" t="inlineStr">
        <is>
          <t>[0005667] AVALON AVORAL SHAMPOO 120 ML</t>
        </is>
      </c>
      <c r="C778" s="5" t="inlineStr">
        <is>
          <t>دواء</t>
        </is>
      </c>
      <c r="D778" s="13" t="inlineStr">
        <is>
          <t>06285095005770</t>
        </is>
      </c>
      <c r="E778" s="14">
        <f>L778-K778</f>
        <v/>
      </c>
      <c r="F778" s="14" t="n">
        <v>0</v>
      </c>
      <c r="G778" s="14">
        <f>F778-E778</f>
        <v/>
      </c>
      <c r="H778" s="7" t="n">
        <v>18.3</v>
      </c>
      <c r="I778" s="7">
        <f>G778*H778</f>
        <v/>
      </c>
      <c r="J778" s="16" t="inlineStr">
        <is>
          <t>لم يُجرد</t>
        </is>
      </c>
      <c r="K778" s="14" t="n">
        <v>0</v>
      </c>
      <c r="L778" s="14" t="n">
        <v>7</v>
      </c>
      <c r="M778" s="5" t="inlineStr"/>
      <c r="N778" s="5" t="inlineStr"/>
    </row>
    <row r="779">
      <c r="A779" s="13" t="inlineStr">
        <is>
          <t>00034844</t>
        </is>
      </c>
      <c r="B779" s="5" t="inlineStr">
        <is>
          <t>[00034844] ADZOY 0.3%2.5%GEL 30 GRAM(JJ)</t>
        </is>
      </c>
      <c r="C779" s="5" t="inlineStr">
        <is>
          <t>دواء</t>
        </is>
      </c>
      <c r="D779" s="13" t="inlineStr"/>
      <c r="E779" s="14">
        <f>L779-K779</f>
        <v/>
      </c>
      <c r="F779" s="14" t="n">
        <v>0</v>
      </c>
      <c r="G779" s="14">
        <f>F779-E779</f>
        <v/>
      </c>
      <c r="H779" s="7" t="n">
        <v>76.8</v>
      </c>
      <c r="I779" s="7">
        <f>G779*H779</f>
        <v/>
      </c>
      <c r="J779" s="16" t="inlineStr">
        <is>
          <t>لم يُجرد</t>
        </is>
      </c>
      <c r="K779" s="14" t="n">
        <v>0</v>
      </c>
      <c r="L779" s="14" t="n">
        <v>2</v>
      </c>
      <c r="M779" s="5" t="inlineStr"/>
      <c r="N779" s="5" t="inlineStr"/>
    </row>
    <row r="780">
      <c r="A780" s="13" t="inlineStr">
        <is>
          <t>0004355</t>
        </is>
      </c>
      <c r="B780" s="5" t="inlineStr">
        <is>
          <t>[0004355] CANESTEN CREAM 20GM</t>
        </is>
      </c>
      <c r="C780" s="5" t="inlineStr">
        <is>
          <t>دواء</t>
        </is>
      </c>
      <c r="D780" s="13" t="inlineStr">
        <is>
          <t>06285074004329</t>
        </is>
      </c>
      <c r="E780" s="14">
        <f>L780-K780</f>
        <v/>
      </c>
      <c r="F780" s="14" t="n">
        <v>0</v>
      </c>
      <c r="G780" s="14">
        <f>F780-E780</f>
        <v/>
      </c>
      <c r="H780" s="7" t="n">
        <v>19.3</v>
      </c>
      <c r="I780" s="7">
        <f>G780*H780</f>
        <v/>
      </c>
      <c r="J780" s="16" t="inlineStr">
        <is>
          <t>لم يُجرد</t>
        </is>
      </c>
      <c r="K780" s="14" t="n">
        <v>0</v>
      </c>
      <c r="L780" s="14" t="n">
        <v>7</v>
      </c>
      <c r="M780" s="5" t="inlineStr"/>
      <c r="N780" s="5" t="inlineStr"/>
    </row>
    <row r="781">
      <c r="A781" s="13" t="inlineStr">
        <is>
          <t>00021662</t>
        </is>
      </c>
      <c r="B781" s="5" t="inlineStr">
        <is>
          <t>[00021662] UTYCAN PLUS 20 EFF TAB</t>
        </is>
      </c>
      <c r="C781" s="5" t="inlineStr">
        <is>
          <t>دواء</t>
        </is>
      </c>
      <c r="D781" s="13" t="inlineStr">
        <is>
          <t>0748515537443</t>
        </is>
      </c>
      <c r="E781" s="14">
        <f>L781-K781</f>
        <v/>
      </c>
      <c r="F781" s="14" t="n">
        <v>0</v>
      </c>
      <c r="G781" s="14">
        <f>F781-E781</f>
        <v/>
      </c>
      <c r="H781" s="7" t="n">
        <v>82</v>
      </c>
      <c r="I781" s="7">
        <f>G781*H781</f>
        <v/>
      </c>
      <c r="J781" s="16" t="inlineStr">
        <is>
          <t>لم يُجرد</t>
        </is>
      </c>
      <c r="K781" s="14" t="n">
        <v>0</v>
      </c>
      <c r="L781" s="14" t="n">
        <v>3</v>
      </c>
      <c r="M781" s="5" t="inlineStr"/>
      <c r="N781" s="5" t="inlineStr"/>
    </row>
    <row r="782">
      <c r="A782" s="13" t="inlineStr">
        <is>
          <t>0005411</t>
        </is>
      </c>
      <c r="B782" s="5" t="inlineStr">
        <is>
          <t>[0005411] OMNICEF 125 MG SUSP 40 ML</t>
        </is>
      </c>
      <c r="C782" s="5" t="inlineStr">
        <is>
          <t>دواء</t>
        </is>
      </c>
      <c r="D782" s="13" t="inlineStr">
        <is>
          <t>01062851010004161016</t>
        </is>
      </c>
      <c r="E782" s="14">
        <f>L782-K782</f>
        <v/>
      </c>
      <c r="F782" s="14" t="n">
        <v>0</v>
      </c>
      <c r="G782" s="14">
        <f>F782-E782</f>
        <v/>
      </c>
      <c r="H782" s="7" t="n">
        <v>45.8</v>
      </c>
      <c r="I782" s="7">
        <f>G782*H782</f>
        <v/>
      </c>
      <c r="J782" s="16" t="inlineStr">
        <is>
          <t>لم يُجرد</t>
        </is>
      </c>
      <c r="K782" s="14" t="n">
        <v>0</v>
      </c>
      <c r="L782" s="14" t="n">
        <v>3</v>
      </c>
      <c r="M782" s="5" t="inlineStr"/>
      <c r="N782" s="5" t="inlineStr"/>
    </row>
    <row r="783">
      <c r="A783" s="13" t="inlineStr">
        <is>
          <t>00018394</t>
        </is>
      </c>
      <c r="B783" s="5" t="inlineStr">
        <is>
          <t>[00018394] REDEX 20 MG 5 TAB</t>
        </is>
      </c>
      <c r="C783" s="5" t="inlineStr">
        <is>
          <t>دواء</t>
        </is>
      </c>
      <c r="D783" s="13" t="inlineStr"/>
      <c r="E783" s="14">
        <f>L783-K783</f>
        <v/>
      </c>
      <c r="F783" s="14" t="n">
        <v>0</v>
      </c>
      <c r="G783" s="14">
        <f>F783-E783</f>
        <v/>
      </c>
      <c r="H783" s="7" t="n">
        <v>63.2</v>
      </c>
      <c r="I783" s="7">
        <f>G783*H783</f>
        <v/>
      </c>
      <c r="J783" s="16" t="inlineStr">
        <is>
          <t>لم يُجرد</t>
        </is>
      </c>
      <c r="K783" s="14" t="n">
        <v>0</v>
      </c>
      <c r="L783" s="14" t="n">
        <v>2</v>
      </c>
      <c r="M783" s="5" t="inlineStr"/>
      <c r="N783" s="5" t="inlineStr"/>
    </row>
    <row r="784">
      <c r="A784" s="13" t="inlineStr">
        <is>
          <t>00017568</t>
        </is>
      </c>
      <c r="B784" s="5" t="inlineStr">
        <is>
          <t>[00017568] AROX 0.5 % EYE DROPS******</t>
        </is>
      </c>
      <c r="C784" s="5" t="inlineStr">
        <is>
          <t>دواء</t>
        </is>
      </c>
      <c r="D784" s="13" t="inlineStr">
        <is>
          <t>06285128011891</t>
        </is>
      </c>
      <c r="E784" s="14">
        <f>L784-K784</f>
        <v/>
      </c>
      <c r="F784" s="14" t="n">
        <v>0</v>
      </c>
      <c r="G784" s="14">
        <f>F784-E784</f>
        <v/>
      </c>
      <c r="H784" s="7" t="n">
        <v>25.25</v>
      </c>
      <c r="I784" s="7">
        <f>G784*H784</f>
        <v/>
      </c>
      <c r="J784" s="16" t="inlineStr">
        <is>
          <t>لم يُجرد</t>
        </is>
      </c>
      <c r="K784" s="14" t="n">
        <v>0</v>
      </c>
      <c r="L784" s="14" t="n">
        <v>5</v>
      </c>
      <c r="M784" s="5" t="inlineStr"/>
      <c r="N784" s="5" t="inlineStr"/>
    </row>
    <row r="785">
      <c r="A785" s="13" t="inlineStr">
        <is>
          <t>00020811</t>
        </is>
      </c>
      <c r="B785" s="5" t="inlineStr">
        <is>
          <t>[00020811] BENOSTAN HI MEN GEG 50 ML</t>
        </is>
      </c>
      <c r="C785" s="5" t="inlineStr">
        <is>
          <t>دواء</t>
        </is>
      </c>
      <c r="D785" s="13" t="inlineStr">
        <is>
          <t>5206172217085</t>
        </is>
      </c>
      <c r="E785" s="14">
        <f>L785-K785</f>
        <v/>
      </c>
      <c r="F785" s="14" t="n">
        <v>0</v>
      </c>
      <c r="G785" s="14">
        <f>F785-E785</f>
        <v/>
      </c>
      <c r="H785" s="7" t="n">
        <v>175</v>
      </c>
      <c r="I785" s="7">
        <f>G785*H785</f>
        <v/>
      </c>
      <c r="J785" s="16" t="inlineStr">
        <is>
          <t>لم يُجرد</t>
        </is>
      </c>
      <c r="K785" s="14" t="n">
        <v>0</v>
      </c>
      <c r="L785" s="14" t="n">
        <v>1</v>
      </c>
      <c r="M785" s="5" t="inlineStr"/>
      <c r="N785" s="5" t="inlineStr"/>
    </row>
    <row r="786">
      <c r="A786" s="13" t="inlineStr">
        <is>
          <t>00048246</t>
        </is>
      </c>
      <c r="B786" s="5" t="inlineStr">
        <is>
          <t>[00048246] MR TUMEE VITAMIN D 60GUMEE 1612</t>
        </is>
      </c>
      <c r="C786" s="5" t="inlineStr">
        <is>
          <t>دواء</t>
        </is>
      </c>
      <c r="D786" s="13" t="inlineStr">
        <is>
          <t>835776001612</t>
        </is>
      </c>
      <c r="E786" s="14">
        <f>L786-K786</f>
        <v/>
      </c>
      <c r="F786" s="14" t="n">
        <v>0</v>
      </c>
      <c r="G786" s="14">
        <f>F786-E786</f>
        <v/>
      </c>
      <c r="H786" s="7" t="n">
        <v>124</v>
      </c>
      <c r="I786" s="7">
        <f>G786*H786</f>
        <v/>
      </c>
      <c r="J786" s="16" t="inlineStr">
        <is>
          <t>لم يُجرد</t>
        </is>
      </c>
      <c r="K786" s="14" t="n">
        <v>0</v>
      </c>
      <c r="L786" s="14" t="n">
        <v>3</v>
      </c>
      <c r="M786" s="5" t="inlineStr"/>
      <c r="N786" s="5" t="inlineStr"/>
    </row>
    <row r="787">
      <c r="A787" s="13" t="inlineStr">
        <is>
          <t>00038348</t>
        </is>
      </c>
      <c r="B787" s="5" t="inlineStr">
        <is>
          <t>[00038348] ISIS1086 SECALIA ATO BALM 400 ML</t>
        </is>
      </c>
      <c r="C787" s="5" t="inlineStr">
        <is>
          <t>دواء</t>
        </is>
      </c>
      <c r="D787" s="13" t="inlineStr">
        <is>
          <t>3760269771086</t>
        </is>
      </c>
      <c r="E787" s="14">
        <f>L787-K787</f>
        <v/>
      </c>
      <c r="F787" s="14" t="n">
        <v>0</v>
      </c>
      <c r="G787" s="14">
        <f>F787-E787</f>
        <v/>
      </c>
      <c r="H787" s="7" t="n">
        <v>125</v>
      </c>
      <c r="I787" s="7">
        <f>G787*H787</f>
        <v/>
      </c>
      <c r="J787" s="16" t="inlineStr">
        <is>
          <t>لم يُجرد</t>
        </is>
      </c>
      <c r="K787" s="14" t="n">
        <v>0</v>
      </c>
      <c r="L787" s="14" t="n">
        <v>1</v>
      </c>
      <c r="M787" s="5" t="inlineStr"/>
      <c r="N787" s="5" t="inlineStr"/>
    </row>
    <row r="788">
      <c r="A788" s="13" t="inlineStr">
        <is>
          <t>0003793</t>
        </is>
      </c>
      <c r="B788" s="5" t="inlineStr">
        <is>
          <t>[0003793] AMLOR 10 MG 30 CAP W*****</t>
        </is>
      </c>
      <c r="C788" s="5" t="inlineStr">
        <is>
          <t>دواء</t>
        </is>
      </c>
      <c r="D788" s="13" t="inlineStr"/>
      <c r="E788" s="14">
        <f>L788-K788</f>
        <v/>
      </c>
      <c r="F788" s="14" t="n">
        <v>0</v>
      </c>
      <c r="G788" s="14">
        <f>F788-E788</f>
        <v/>
      </c>
      <c r="H788" s="7" t="n">
        <v>64.40000000000001</v>
      </c>
      <c r="I788" s="7">
        <f>G788*H788</f>
        <v/>
      </c>
      <c r="J788" s="16" t="inlineStr">
        <is>
          <t>لم يُجرد</t>
        </is>
      </c>
      <c r="K788" s="14" t="n">
        <v>0</v>
      </c>
      <c r="L788" s="14" t="n">
        <v>2</v>
      </c>
      <c r="M788" s="5" t="inlineStr"/>
      <c r="N788" s="5" t="inlineStr"/>
    </row>
    <row r="789">
      <c r="A789" s="13" t="inlineStr">
        <is>
          <t>00047608</t>
        </is>
      </c>
      <c r="B789" s="5" t="inlineStr">
        <is>
          <t>[00047608] LIMI LIPOIC FORTE 30 TAB 7258</t>
        </is>
      </c>
      <c r="C789" s="5" t="inlineStr">
        <is>
          <t>دواء</t>
        </is>
      </c>
      <c r="D789" s="13" t="inlineStr">
        <is>
          <t>608028917258</t>
        </is>
      </c>
      <c r="E789" s="14">
        <f>L789-K789</f>
        <v/>
      </c>
      <c r="F789" s="14" t="n">
        <v>0</v>
      </c>
      <c r="G789" s="14">
        <f>F789-E789</f>
        <v/>
      </c>
      <c r="H789" s="7" t="n">
        <v>130.44</v>
      </c>
      <c r="I789" s="7">
        <f>G789*H789</f>
        <v/>
      </c>
      <c r="J789" s="16" t="inlineStr">
        <is>
          <t>لم يُجرد</t>
        </is>
      </c>
      <c r="K789" s="14" t="n">
        <v>0</v>
      </c>
      <c r="L789" s="14" t="n">
        <v>2</v>
      </c>
      <c r="M789" s="5" t="inlineStr"/>
      <c r="N789" s="5" t="inlineStr"/>
    </row>
    <row r="790">
      <c r="A790" s="13" t="inlineStr">
        <is>
          <t>00038516</t>
        </is>
      </c>
      <c r="B790" s="5" t="inlineStr">
        <is>
          <t>[00038516] YOUCAIR 10MG CHEW TAB</t>
        </is>
      </c>
      <c r="C790" s="5" t="inlineStr">
        <is>
          <t>دواء</t>
        </is>
      </c>
      <c r="D790" s="13" t="inlineStr">
        <is>
          <t>06285128012546</t>
        </is>
      </c>
      <c r="E790" s="14">
        <f>L790-K790</f>
        <v/>
      </c>
      <c r="F790" s="14" t="n">
        <v>0</v>
      </c>
      <c r="G790" s="14">
        <f>F790-E790</f>
        <v/>
      </c>
      <c r="H790" s="7" t="n">
        <v>71.45</v>
      </c>
      <c r="I790" s="7">
        <f>G790*H790</f>
        <v/>
      </c>
      <c r="J790" s="16" t="inlineStr">
        <is>
          <t>لم يُجرد</t>
        </is>
      </c>
      <c r="K790" s="14" t="n">
        <v>0</v>
      </c>
      <c r="L790" s="14" t="n">
        <v>2</v>
      </c>
      <c r="M790" s="5" t="inlineStr"/>
      <c r="N790" s="5" t="inlineStr"/>
    </row>
    <row r="791">
      <c r="A791" s="13" t="inlineStr">
        <is>
          <t>00048564</t>
        </is>
      </c>
      <c r="B791" s="5" t="inlineStr">
        <is>
          <t>[00048564] GINKOFLEX 60 CHEW TAB7658</t>
        </is>
      </c>
      <c r="C791" s="5" t="inlineStr">
        <is>
          <t>دواء</t>
        </is>
      </c>
      <c r="D791" s="13" t="inlineStr">
        <is>
          <t>748515537658</t>
        </is>
      </c>
      <c r="E791" s="14">
        <f>L791-K791</f>
        <v/>
      </c>
      <c r="F791" s="14" t="n">
        <v>0</v>
      </c>
      <c r="G791" s="14">
        <f>F791-E791</f>
        <v/>
      </c>
      <c r="H791" s="7" t="n">
        <v>125</v>
      </c>
      <c r="I791" s="7">
        <f>G791*H791</f>
        <v/>
      </c>
      <c r="J791" s="16" t="inlineStr">
        <is>
          <t>لم يُجرد</t>
        </is>
      </c>
      <c r="K791" s="14" t="n">
        <v>0</v>
      </c>
      <c r="L791" s="14" t="n">
        <v>2</v>
      </c>
      <c r="M791" s="5" t="inlineStr"/>
      <c r="N791" s="5" t="inlineStr"/>
    </row>
    <row r="792">
      <c r="A792" s="13" t="inlineStr">
        <is>
          <t>00020994</t>
        </is>
      </c>
      <c r="B792" s="5" t="inlineStr">
        <is>
          <t>[00020994] GARCIMIUM NHS 60 CHEWABLE TAB</t>
        </is>
      </c>
      <c r="C792" s="5" t="inlineStr">
        <is>
          <t>دواء</t>
        </is>
      </c>
      <c r="D792" s="13" t="inlineStr">
        <is>
          <t>6286127000053</t>
        </is>
      </c>
      <c r="E792" s="14">
        <f>L792-K792</f>
        <v/>
      </c>
      <c r="F792" s="14" t="n">
        <v>0</v>
      </c>
      <c r="G792" s="14">
        <f>F792-E792</f>
        <v/>
      </c>
      <c r="H792" s="7" t="n">
        <v>195</v>
      </c>
      <c r="I792" s="7">
        <f>G792*H792</f>
        <v/>
      </c>
      <c r="J792" s="16" t="inlineStr">
        <is>
          <t>لم يُجرد</t>
        </is>
      </c>
      <c r="K792" s="14" t="n">
        <v>0</v>
      </c>
      <c r="L792" s="14" t="n">
        <v>1</v>
      </c>
      <c r="M792" s="5" t="inlineStr"/>
      <c r="N792" s="5" t="inlineStr"/>
    </row>
    <row r="793">
      <c r="A793" s="13" t="inlineStr">
        <is>
          <t>00048334</t>
        </is>
      </c>
      <c r="B793" s="5" t="inlineStr">
        <is>
          <t>[00048334] RIAHEAL 75G OINT</t>
        </is>
      </c>
      <c r="C793" s="5" t="inlineStr">
        <is>
          <t>دواء</t>
        </is>
      </c>
      <c r="D793" s="13" t="inlineStr">
        <is>
          <t>06281080014888</t>
        </is>
      </c>
      <c r="E793" s="14">
        <f>L793-K793</f>
        <v/>
      </c>
      <c r="F793" s="14" t="n">
        <v>0</v>
      </c>
      <c r="G793" s="14">
        <f>F793-E793</f>
        <v/>
      </c>
      <c r="H793" s="7" t="n">
        <v>125</v>
      </c>
      <c r="I793" s="7">
        <f>G793*H793</f>
        <v/>
      </c>
      <c r="J793" s="16" t="inlineStr">
        <is>
          <t>لم يُجرد</t>
        </is>
      </c>
      <c r="K793" s="14" t="n">
        <v>0</v>
      </c>
      <c r="L793" s="14" t="n">
        <v>2</v>
      </c>
      <c r="M793" s="5" t="inlineStr"/>
      <c r="N793" s="5" t="inlineStr"/>
    </row>
    <row r="794">
      <c r="A794" s="13" t="inlineStr">
        <is>
          <t>00020419</t>
        </is>
      </c>
      <c r="B794" s="5" t="inlineStr">
        <is>
          <t>[00020419] ARGINAL 60 CHEWABLE TAB NHS</t>
        </is>
      </c>
      <c r="C794" s="5" t="inlineStr">
        <is>
          <t>دواء</t>
        </is>
      </c>
      <c r="D794" s="13" t="inlineStr">
        <is>
          <t>6286127000107</t>
        </is>
      </c>
      <c r="E794" s="14">
        <f>L794-K794</f>
        <v/>
      </c>
      <c r="F794" s="14" t="n">
        <v>0</v>
      </c>
      <c r="G794" s="14">
        <f>F794-E794</f>
        <v/>
      </c>
      <c r="H794" s="7" t="n">
        <v>195</v>
      </c>
      <c r="I794" s="7">
        <f>G794*H794</f>
        <v/>
      </c>
      <c r="J794" s="16" t="inlineStr">
        <is>
          <t>لم يُجرد</t>
        </is>
      </c>
      <c r="K794" s="14" t="n">
        <v>0</v>
      </c>
      <c r="L794" s="14" t="n">
        <v>1</v>
      </c>
      <c r="M794" s="5" t="inlineStr"/>
      <c r="N794" s="5" t="inlineStr"/>
    </row>
    <row r="795">
      <c r="A795" s="13" t="inlineStr">
        <is>
          <t>00039867</t>
        </is>
      </c>
      <c r="B795" s="5" t="inlineStr">
        <is>
          <t>[00039867] ELMENT GLOW BITES 60 GUMMIES 2687</t>
        </is>
      </c>
      <c r="C795" s="5" t="inlineStr">
        <is>
          <t>دواء</t>
        </is>
      </c>
      <c r="D795" s="13" t="inlineStr">
        <is>
          <t>6939964032687</t>
        </is>
      </c>
      <c r="E795" s="14">
        <f>L795-K795</f>
        <v/>
      </c>
      <c r="F795" s="14" t="n">
        <v>0</v>
      </c>
      <c r="G795" s="14">
        <f>F795-E795</f>
        <v/>
      </c>
      <c r="H795" s="7" t="n">
        <v>93</v>
      </c>
      <c r="I795" s="7">
        <f>G795*H795</f>
        <v/>
      </c>
      <c r="J795" s="16" t="inlineStr">
        <is>
          <t>لم يُجرد</t>
        </is>
      </c>
      <c r="K795" s="14" t="n">
        <v>0</v>
      </c>
      <c r="L795" s="14" t="n">
        <v>2</v>
      </c>
      <c r="M795" s="5" t="inlineStr"/>
      <c r="N795" s="5" t="inlineStr"/>
    </row>
    <row r="796">
      <c r="A796" s="13" t="inlineStr">
        <is>
          <t>00012875</t>
        </is>
      </c>
      <c r="B796" s="5" t="inlineStr">
        <is>
          <t>[00012875] PECTAL SYP</t>
        </is>
      </c>
      <c r="C796" s="5" t="inlineStr">
        <is>
          <t>دواء</t>
        </is>
      </c>
      <c r="D796" s="13" t="inlineStr">
        <is>
          <t>01062851010006761061</t>
        </is>
      </c>
      <c r="E796" s="14">
        <f>L796-K796</f>
        <v/>
      </c>
      <c r="F796" s="14" t="n">
        <v>0</v>
      </c>
      <c r="G796" s="14">
        <f>F796-E796</f>
        <v/>
      </c>
      <c r="H796" s="7" t="n">
        <v>7.8</v>
      </c>
      <c r="I796" s="7">
        <f>G796*H796</f>
        <v/>
      </c>
      <c r="J796" s="16" t="inlineStr">
        <is>
          <t>لم يُجرد</t>
        </is>
      </c>
      <c r="K796" s="14" t="n">
        <v>0</v>
      </c>
      <c r="L796" s="14" t="n">
        <v>16</v>
      </c>
      <c r="M796" s="5" t="inlineStr"/>
      <c r="N796" s="5" t="inlineStr"/>
    </row>
    <row r="797">
      <c r="A797" s="13" t="inlineStr">
        <is>
          <t>00026203</t>
        </is>
      </c>
      <c r="B797" s="5" t="inlineStr">
        <is>
          <t>[00026203] CARTIMOV 50MG 20 CAP</t>
        </is>
      </c>
      <c r="C797" s="5" t="inlineStr">
        <is>
          <t>دواء</t>
        </is>
      </c>
      <c r="D797" s="13" t="inlineStr">
        <is>
          <t>06285128019576</t>
        </is>
      </c>
      <c r="E797" s="14">
        <f>L797-K797</f>
        <v/>
      </c>
      <c r="F797" s="14" t="n">
        <v>0</v>
      </c>
      <c r="G797" s="14">
        <f>F797-E797</f>
        <v/>
      </c>
      <c r="H797" s="7" t="n">
        <v>37.3</v>
      </c>
      <c r="I797" s="7">
        <f>G797*H797</f>
        <v/>
      </c>
      <c r="J797" s="16" t="inlineStr">
        <is>
          <t>لم يُجرد</t>
        </is>
      </c>
      <c r="K797" s="14" t="n">
        <v>0</v>
      </c>
      <c r="L797" s="14" t="n">
        <v>4</v>
      </c>
      <c r="M797" s="5" t="inlineStr"/>
      <c r="N797" s="5" t="inlineStr"/>
    </row>
    <row r="798">
      <c r="A798" s="13" t="inlineStr">
        <is>
          <t>00030163</t>
        </is>
      </c>
      <c r="B798" s="5" t="inlineStr">
        <is>
          <t>[00030163] CANDEREL CHOCO 25 PCS FINGERS 8323</t>
        </is>
      </c>
      <c r="C798" s="5" t="inlineStr">
        <is>
          <t>دواء</t>
        </is>
      </c>
      <c r="D798" s="13" t="inlineStr">
        <is>
          <t>7640110708323</t>
        </is>
      </c>
      <c r="E798" s="14">
        <f>L798-K798</f>
        <v/>
      </c>
      <c r="F798" s="14" t="n">
        <v>0</v>
      </c>
      <c r="G798" s="14">
        <f>F798-E798</f>
        <v/>
      </c>
      <c r="H798" s="7" t="n">
        <v>6.3</v>
      </c>
      <c r="I798" s="7">
        <f>G798*H798</f>
        <v/>
      </c>
      <c r="J798" s="16" t="inlineStr">
        <is>
          <t>لم يُجرد</t>
        </is>
      </c>
      <c r="K798" s="14" t="n">
        <v>0</v>
      </c>
      <c r="L798" s="14" t="n">
        <v>21</v>
      </c>
      <c r="M798" s="5" t="inlineStr"/>
      <c r="N798" s="5" t="inlineStr"/>
    </row>
    <row r="799">
      <c r="A799" s="13" t="inlineStr">
        <is>
          <t>0003375</t>
        </is>
      </c>
      <c r="B799" s="5" t="inlineStr">
        <is>
          <t>[0003375] ARKO PASSIFLORE 45CAPS</t>
        </is>
      </c>
      <c r="C799" s="5" t="inlineStr">
        <is>
          <t>دواء</t>
        </is>
      </c>
      <c r="D799" s="13" t="inlineStr">
        <is>
          <t>3578830110550</t>
        </is>
      </c>
      <c r="E799" s="14">
        <f>L799-K799</f>
        <v/>
      </c>
      <c r="F799" s="14" t="n">
        <v>0</v>
      </c>
      <c r="G799" s="14">
        <f>F799-E799</f>
        <v/>
      </c>
      <c r="H799" s="7" t="n">
        <v>85</v>
      </c>
      <c r="I799" s="7">
        <f>G799*H799</f>
        <v/>
      </c>
      <c r="J799" s="16" t="inlineStr">
        <is>
          <t>لم يُجرد</t>
        </is>
      </c>
      <c r="K799" s="14" t="n">
        <v>0</v>
      </c>
      <c r="L799" s="14" t="n">
        <v>2</v>
      </c>
      <c r="M799" s="5" t="inlineStr"/>
      <c r="N799" s="5" t="inlineStr"/>
    </row>
    <row r="800">
      <c r="A800" s="13" t="inlineStr">
        <is>
          <t>00018535</t>
        </is>
      </c>
      <c r="B800" s="5" t="inlineStr">
        <is>
          <t>[00018535] OSTERRA 500MG/400IU TAB</t>
        </is>
      </c>
      <c r="C800" s="5" t="inlineStr">
        <is>
          <t>دواء</t>
        </is>
      </c>
      <c r="D800" s="13" t="inlineStr"/>
      <c r="E800" s="14">
        <f>L800-K800</f>
        <v/>
      </c>
      <c r="F800" s="14" t="n">
        <v>0</v>
      </c>
      <c r="G800" s="14">
        <f>F800-E800</f>
        <v/>
      </c>
      <c r="H800" s="7" t="n">
        <v>20.4</v>
      </c>
      <c r="I800" s="7">
        <f>G800*H800</f>
        <v/>
      </c>
      <c r="J800" s="16" t="inlineStr">
        <is>
          <t>لم يُجرد</t>
        </is>
      </c>
      <c r="K800" s="14" t="n">
        <v>0</v>
      </c>
      <c r="L800" s="14" t="n">
        <v>6</v>
      </c>
      <c r="M800" s="5" t="inlineStr"/>
      <c r="N800" s="5" t="inlineStr"/>
    </row>
    <row r="801">
      <c r="A801" s="13" t="inlineStr">
        <is>
          <t>0004130</t>
        </is>
      </c>
      <c r="B801" s="5" t="inlineStr">
        <is>
          <t>[0004130] COVERAM 10MG/10MG 30TAB</t>
        </is>
      </c>
      <c r="C801" s="5" t="inlineStr">
        <is>
          <t>دواء</t>
        </is>
      </c>
      <c r="D801" s="13" t="inlineStr">
        <is>
          <t>0106285108000051210000023369531728063010767290</t>
        </is>
      </c>
      <c r="E801" s="14">
        <f>L801-K801</f>
        <v/>
      </c>
      <c r="F801" s="14" t="n">
        <v>0</v>
      </c>
      <c r="G801" s="14">
        <f>F801-E801</f>
        <v/>
      </c>
      <c r="H801" s="7" t="n">
        <v>117.2</v>
      </c>
      <c r="I801" s="7">
        <f>G801*H801</f>
        <v/>
      </c>
      <c r="J801" s="16" t="inlineStr">
        <is>
          <t>لم يُجرد</t>
        </is>
      </c>
      <c r="K801" s="14" t="n">
        <v>0</v>
      </c>
      <c r="L801" s="14" t="n">
        <v>1</v>
      </c>
      <c r="M801" s="5" t="inlineStr"/>
      <c r="N801" s="5" t="inlineStr"/>
    </row>
    <row r="802">
      <c r="A802" s="13" t="inlineStr">
        <is>
          <t>0005772</t>
        </is>
      </c>
      <c r="B802" s="5" t="inlineStr">
        <is>
          <t>[0005772] LIORESAL 25 MG 50 TAB</t>
        </is>
      </c>
      <c r="C802" s="5" t="inlineStr">
        <is>
          <t>دواء</t>
        </is>
      </c>
      <c r="D802" s="13" t="inlineStr">
        <is>
          <t>01076127910093651720</t>
        </is>
      </c>
      <c r="E802" s="14">
        <f>L802-K802</f>
        <v/>
      </c>
      <c r="F802" s="14" t="n">
        <v>0</v>
      </c>
      <c r="G802" s="14">
        <f>F802-E802</f>
        <v/>
      </c>
      <c r="H802" s="7" t="n">
        <v>67.95</v>
      </c>
      <c r="I802" s="7">
        <f>G802*H802</f>
        <v/>
      </c>
      <c r="J802" s="16" t="inlineStr">
        <is>
          <t>لم يُجرد</t>
        </is>
      </c>
      <c r="K802" s="14" t="n">
        <v>0</v>
      </c>
      <c r="L802" s="14" t="n">
        <v>2</v>
      </c>
      <c r="M802" s="5" t="inlineStr"/>
      <c r="N802" s="5" t="inlineStr"/>
    </row>
    <row r="803">
      <c r="A803" s="13" t="inlineStr">
        <is>
          <t>00020636</t>
        </is>
      </c>
      <c r="B803" s="5" t="inlineStr">
        <is>
          <t>[00020636] TOP VOTREX UNI CAR VAG CLEANSER</t>
        </is>
      </c>
      <c r="C803" s="5" t="inlineStr">
        <is>
          <t>دواء</t>
        </is>
      </c>
      <c r="D803" s="13" t="inlineStr">
        <is>
          <t>6287002332184</t>
        </is>
      </c>
      <c r="E803" s="14">
        <f>L803-K803</f>
        <v/>
      </c>
      <c r="F803" s="14" t="n">
        <v>0</v>
      </c>
      <c r="G803" s="14">
        <f>F803-E803</f>
        <v/>
      </c>
      <c r="H803" s="7" t="n">
        <v>79</v>
      </c>
      <c r="I803" s="7">
        <f>G803*H803</f>
        <v/>
      </c>
      <c r="J803" s="16" t="inlineStr">
        <is>
          <t>لم يُجرد</t>
        </is>
      </c>
      <c r="K803" s="14" t="n">
        <v>0</v>
      </c>
      <c r="L803" s="14" t="n">
        <v>3</v>
      </c>
      <c r="M803" s="5" t="inlineStr"/>
      <c r="N803" s="5" t="inlineStr"/>
    </row>
    <row r="804">
      <c r="A804" s="13" t="inlineStr">
        <is>
          <t>00037939</t>
        </is>
      </c>
      <c r="B804" s="5" t="inlineStr">
        <is>
          <t>[00037939] NOOR TRYPSIN GEL 100ML</t>
        </is>
      </c>
      <c r="C804" s="5" t="inlineStr">
        <is>
          <t>دواء</t>
        </is>
      </c>
      <c r="D804" s="13" t="inlineStr">
        <is>
          <t>795044248883</t>
        </is>
      </c>
      <c r="E804" s="14">
        <f>L804-K804</f>
        <v/>
      </c>
      <c r="F804" s="14" t="n">
        <v>0</v>
      </c>
      <c r="G804" s="14">
        <f>F804-E804</f>
        <v/>
      </c>
      <c r="H804" s="7" t="n">
        <v>79</v>
      </c>
      <c r="I804" s="7">
        <f>G804*H804</f>
        <v/>
      </c>
      <c r="J804" s="16" t="inlineStr">
        <is>
          <t>لم يُجرد</t>
        </is>
      </c>
      <c r="K804" s="14" t="n">
        <v>0</v>
      </c>
      <c r="L804" s="14" t="n">
        <v>3</v>
      </c>
      <c r="M804" s="5" t="inlineStr"/>
      <c r="N804" s="5" t="inlineStr"/>
    </row>
    <row r="805">
      <c r="A805" s="13" t="inlineStr">
        <is>
          <t>00048272</t>
        </is>
      </c>
      <c r="B805" s="5" t="inlineStr">
        <is>
          <t>[00048272] FEVADOL EXTRA 30 TAB</t>
        </is>
      </c>
      <c r="C805" s="5" t="inlineStr">
        <is>
          <t>دواء</t>
        </is>
      </c>
      <c r="D805" s="13" t="inlineStr">
        <is>
          <t>06281086107614</t>
        </is>
      </c>
      <c r="E805" s="14">
        <f>L805-K805</f>
        <v/>
      </c>
      <c r="F805" s="14" t="n">
        <v>0</v>
      </c>
      <c r="G805" s="14">
        <f>F805-E805</f>
        <v/>
      </c>
      <c r="H805" s="7" t="n">
        <v>8.699999999999999</v>
      </c>
      <c r="I805" s="7">
        <f>G805*H805</f>
        <v/>
      </c>
      <c r="J805" s="16" t="inlineStr">
        <is>
          <t>لم يُجرد</t>
        </is>
      </c>
      <c r="K805" s="14" t="n">
        <v>0</v>
      </c>
      <c r="L805" s="14" t="n">
        <v>14</v>
      </c>
      <c r="M805" s="5" t="inlineStr"/>
      <c r="N805" s="5" t="inlineStr"/>
    </row>
    <row r="806">
      <c r="A806" s="13" t="inlineStr">
        <is>
          <t>0003689</t>
        </is>
      </c>
      <c r="B806" s="5" t="inlineStr">
        <is>
          <t>[0003689] AMYDRAMINE II SF SYRUP 120ML</t>
        </is>
      </c>
      <c r="C806" s="5" t="inlineStr">
        <is>
          <t>دواء</t>
        </is>
      </c>
      <c r="D806" s="13" t="inlineStr">
        <is>
          <t>06291100081868</t>
        </is>
      </c>
      <c r="E806" s="14">
        <f>L806-K806</f>
        <v/>
      </c>
      <c r="F806" s="14" t="n">
        <v>0</v>
      </c>
      <c r="G806" s="14">
        <f>F806-E806</f>
        <v/>
      </c>
      <c r="H806" s="7" t="n">
        <v>7.15</v>
      </c>
      <c r="I806" s="7">
        <f>G806*H806</f>
        <v/>
      </c>
      <c r="J806" s="16" t="inlineStr">
        <is>
          <t>لم يُجرد</t>
        </is>
      </c>
      <c r="K806" s="14" t="n">
        <v>0</v>
      </c>
      <c r="L806" s="14" t="n">
        <v>17</v>
      </c>
      <c r="M806" s="5" t="inlineStr"/>
      <c r="N806" s="5" t="inlineStr"/>
    </row>
    <row r="807">
      <c r="A807" s="13" t="inlineStr">
        <is>
          <t>00034240</t>
        </is>
      </c>
      <c r="B807" s="5" t="inlineStr">
        <is>
          <t>[00034240] VITATONIC 30 TABLETS</t>
        </is>
      </c>
      <c r="C807" s="5" t="inlineStr">
        <is>
          <t>دواء</t>
        </is>
      </c>
      <c r="D807" s="13" t="inlineStr">
        <is>
          <t>6285756003145</t>
        </is>
      </c>
      <c r="E807" s="14">
        <f>L807-K807</f>
        <v/>
      </c>
      <c r="F807" s="14" t="n">
        <v>0</v>
      </c>
      <c r="G807" s="14">
        <f>F807-E807</f>
        <v/>
      </c>
      <c r="H807" s="7" t="n">
        <v>75</v>
      </c>
      <c r="I807" s="7">
        <f>G807*H807</f>
        <v/>
      </c>
      <c r="J807" s="16" t="inlineStr">
        <is>
          <t>لم يُجرد</t>
        </is>
      </c>
      <c r="K807" s="14" t="n">
        <v>0</v>
      </c>
      <c r="L807" s="14" t="n">
        <v>3</v>
      </c>
      <c r="M807" s="5" t="inlineStr"/>
      <c r="N807" s="5" t="inlineStr"/>
    </row>
    <row r="808">
      <c r="A808" s="13" t="inlineStr">
        <is>
          <t>0003306</t>
        </is>
      </c>
      <c r="B808" s="5" t="inlineStr">
        <is>
          <t>[0003306] LASIX 40MG 20TAB TMR</t>
        </is>
      </c>
      <c r="C808" s="5" t="inlineStr">
        <is>
          <t>دواء</t>
        </is>
      </c>
      <c r="D808" s="13" t="inlineStr">
        <is>
          <t>3582910029267</t>
        </is>
      </c>
      <c r="E808" s="14">
        <f>L808-K808</f>
        <v/>
      </c>
      <c r="F808" s="14" t="n">
        <v>0</v>
      </c>
      <c r="G808" s="14">
        <f>F808-E808</f>
        <v/>
      </c>
      <c r="H808" s="7" t="n">
        <v>20.2</v>
      </c>
      <c r="I808" s="7">
        <f>G808*H808</f>
        <v/>
      </c>
      <c r="J808" s="16" t="inlineStr">
        <is>
          <t>لم يُجرد</t>
        </is>
      </c>
      <c r="K808" s="14" t="n">
        <v>0</v>
      </c>
      <c r="L808" s="14" t="n">
        <v>6</v>
      </c>
      <c r="M808" s="5" t="inlineStr"/>
      <c r="N808" s="5" t="inlineStr"/>
    </row>
    <row r="809">
      <c r="A809" s="13" t="inlineStr">
        <is>
          <t>00026514</t>
        </is>
      </c>
      <c r="B809" s="5" t="inlineStr">
        <is>
          <t>[00026514] VICHY DERCOS 6459 CASPA CONTROL SHAMPOO 250ML</t>
        </is>
      </c>
      <c r="C809" s="5" t="inlineStr">
        <is>
          <t>دواء</t>
        </is>
      </c>
      <c r="D809" s="13" t="inlineStr">
        <is>
          <t>3337875736459</t>
        </is>
      </c>
      <c r="E809" s="14">
        <f>L809-K809</f>
        <v/>
      </c>
      <c r="F809" s="14" t="n">
        <v>0</v>
      </c>
      <c r="G809" s="14">
        <f>F809-E809</f>
        <v/>
      </c>
      <c r="H809" s="7" t="n">
        <v>77</v>
      </c>
      <c r="I809" s="7">
        <f>G809*H809</f>
        <v/>
      </c>
      <c r="J809" s="16" t="inlineStr">
        <is>
          <t>لم يُجرد</t>
        </is>
      </c>
      <c r="K809" s="14" t="n">
        <v>0</v>
      </c>
      <c r="L809" s="14" t="n">
        <v>2</v>
      </c>
      <c r="M809" s="5" t="inlineStr"/>
      <c r="N809" s="5" t="inlineStr"/>
    </row>
    <row r="810">
      <c r="A810" s="13" t="inlineStr">
        <is>
          <t>0003875</t>
        </is>
      </c>
      <c r="B810" s="5" t="inlineStr">
        <is>
          <t>[0003875] ETORIA 90MG 28TABLETS</t>
        </is>
      </c>
      <c r="C810" s="5" t="inlineStr">
        <is>
          <t>دواء</t>
        </is>
      </c>
      <c r="D810" s="13" t="inlineStr">
        <is>
          <t>06281086002872</t>
        </is>
      </c>
      <c r="E810" s="14">
        <f>L810-K810</f>
        <v/>
      </c>
      <c r="F810" s="14" t="n">
        <v>0</v>
      </c>
      <c r="G810" s="14">
        <f>F810-E810</f>
        <v/>
      </c>
      <c r="H810" s="7" t="n">
        <v>60.45</v>
      </c>
      <c r="I810" s="7">
        <f>G810*H810</f>
        <v/>
      </c>
      <c r="J810" s="16" t="inlineStr">
        <is>
          <t>لم يُجرد</t>
        </is>
      </c>
      <c r="K810" s="14" t="n">
        <v>0</v>
      </c>
      <c r="L810" s="14" t="n">
        <v>2</v>
      </c>
      <c r="M810" s="5" t="inlineStr"/>
      <c r="N810" s="5" t="inlineStr"/>
    </row>
    <row r="811">
      <c r="A811" s="13" t="inlineStr">
        <is>
          <t>0004037</t>
        </is>
      </c>
      <c r="B811" s="5" t="inlineStr">
        <is>
          <t>[0004037] EBIXA 10MG 28 TAB</t>
        </is>
      </c>
      <c r="C811" s="5" t="inlineStr">
        <is>
          <t>دواء</t>
        </is>
      </c>
      <c r="D811" s="13" t="inlineStr">
        <is>
          <t>05702150155078</t>
        </is>
      </c>
      <c r="E811" s="14">
        <f>L811-K811</f>
        <v/>
      </c>
      <c r="F811" s="14" t="n">
        <v>0</v>
      </c>
      <c r="G811" s="14">
        <f>F811-E811</f>
        <v/>
      </c>
      <c r="H811" s="7" t="n">
        <v>115.4</v>
      </c>
      <c r="I811" s="7">
        <f>G811*H811</f>
        <v/>
      </c>
      <c r="J811" s="16" t="inlineStr">
        <is>
          <t>لم يُجرد</t>
        </is>
      </c>
      <c r="K811" s="14" t="n">
        <v>0</v>
      </c>
      <c r="L811" s="14" t="n">
        <v>1</v>
      </c>
      <c r="M811" s="5" t="inlineStr"/>
      <c r="N811" s="5" t="inlineStr"/>
    </row>
    <row r="812">
      <c r="A812" s="13" t="inlineStr">
        <is>
          <t>00031439</t>
        </is>
      </c>
      <c r="B812" s="5" t="inlineStr">
        <is>
          <t>[00031439] NAFEES VITAMIN C+D+ZINC EFFE</t>
        </is>
      </c>
      <c r="C812" s="5" t="inlineStr">
        <is>
          <t>دواء</t>
        </is>
      </c>
      <c r="D812" s="13" t="inlineStr">
        <is>
          <t>8690088031519</t>
        </is>
      </c>
      <c r="E812" s="14">
        <f>L812-K812</f>
        <v/>
      </c>
      <c r="F812" s="14" t="n">
        <v>0</v>
      </c>
      <c r="G812" s="14">
        <f>F812-E812</f>
        <v/>
      </c>
      <c r="H812" s="7" t="n">
        <v>25</v>
      </c>
      <c r="I812" s="7">
        <f>G812*H812</f>
        <v/>
      </c>
      <c r="J812" s="16" t="inlineStr">
        <is>
          <t>لم يُجرد</t>
        </is>
      </c>
      <c r="K812" s="14" t="n">
        <v>0</v>
      </c>
      <c r="L812" s="14" t="n">
        <v>5</v>
      </c>
      <c r="M812" s="5" t="inlineStr"/>
      <c r="N812" s="5" t="inlineStr"/>
    </row>
    <row r="813">
      <c r="A813" s="13" t="inlineStr">
        <is>
          <t>00034087</t>
        </is>
      </c>
      <c r="B813" s="5" t="inlineStr">
        <is>
          <t>[00034087] STERIMAR NOSE HYGIENE ADULT100ML.</t>
        </is>
      </c>
      <c r="C813" s="5" t="inlineStr">
        <is>
          <t>دواء</t>
        </is>
      </c>
      <c r="D813" s="13" t="inlineStr">
        <is>
          <t>3331300097214</t>
        </is>
      </c>
      <c r="E813" s="14">
        <f>L813-K813</f>
        <v/>
      </c>
      <c r="F813" s="14" t="n">
        <v>0</v>
      </c>
      <c r="G813" s="14">
        <f>F813-E813</f>
        <v/>
      </c>
      <c r="H813" s="7" t="n">
        <v>45.45</v>
      </c>
      <c r="I813" s="7">
        <f>G813*H813</f>
        <v/>
      </c>
      <c r="J813" s="16" t="inlineStr">
        <is>
          <t>لم يُجرد</t>
        </is>
      </c>
      <c r="K813" s="14" t="n">
        <v>0</v>
      </c>
      <c r="L813" s="14" t="n">
        <v>5</v>
      </c>
      <c r="M813" s="5" t="inlineStr"/>
      <c r="N813" s="5" t="inlineStr"/>
    </row>
    <row r="814">
      <c r="A814" s="13" t="inlineStr">
        <is>
          <t>0003874</t>
        </is>
      </c>
      <c r="B814" s="5" t="inlineStr">
        <is>
          <t>[0003874] ETORIA 60MG 28TABLETS</t>
        </is>
      </c>
      <c r="C814" s="5" t="inlineStr">
        <is>
          <t>دواء</t>
        </is>
      </c>
      <c r="D814" s="13" t="inlineStr">
        <is>
          <t>06281086002865</t>
        </is>
      </c>
      <c r="E814" s="14">
        <f>L814-K814</f>
        <v/>
      </c>
      <c r="F814" s="14" t="n">
        <v>0</v>
      </c>
      <c r="G814" s="14">
        <f>F814-E814</f>
        <v/>
      </c>
      <c r="H814" s="7" t="n">
        <v>60.45</v>
      </c>
      <c r="I814" s="7">
        <f>G814*H814</f>
        <v/>
      </c>
      <c r="J814" s="16" t="inlineStr">
        <is>
          <t>لم يُجرد</t>
        </is>
      </c>
      <c r="K814" s="14" t="n">
        <v>0</v>
      </c>
      <c r="L814" s="14" t="n">
        <v>2</v>
      </c>
      <c r="M814" s="5" t="inlineStr"/>
      <c r="N814" s="5" t="inlineStr"/>
    </row>
    <row r="815">
      <c r="A815" s="13" t="inlineStr">
        <is>
          <t>0003244</t>
        </is>
      </c>
      <c r="B815" s="5" t="inlineStr">
        <is>
          <t>[0003244] REDOXON EFF 1GM 15TAB</t>
        </is>
      </c>
      <c r="C815" s="5" t="inlineStr">
        <is>
          <t>دواء</t>
        </is>
      </c>
      <c r="D815" s="13" t="inlineStr">
        <is>
          <t>6285074004688</t>
        </is>
      </c>
      <c r="E815" s="14">
        <f>L815-K815</f>
        <v/>
      </c>
      <c r="F815" s="14" t="n">
        <v>0</v>
      </c>
      <c r="G815" s="14">
        <f>F815-E815</f>
        <v/>
      </c>
      <c r="H815" s="7" t="n">
        <v>25</v>
      </c>
      <c r="I815" s="7">
        <f>G815*H815</f>
        <v/>
      </c>
      <c r="J815" s="16" t="inlineStr">
        <is>
          <t>لم يُجرد</t>
        </is>
      </c>
      <c r="K815" s="14" t="n">
        <v>0</v>
      </c>
      <c r="L815" s="14" t="n">
        <v>5</v>
      </c>
      <c r="M815" s="5" t="inlineStr"/>
      <c r="N815" s="5" t="inlineStr"/>
    </row>
    <row r="816">
      <c r="A816" s="13" t="inlineStr">
        <is>
          <t>00033046</t>
        </is>
      </c>
      <c r="B816" s="5" t="inlineStr">
        <is>
          <t>[00033046] JP VIVAMUNE KIDS 125MG CAP</t>
        </is>
      </c>
      <c r="C816" s="5" t="inlineStr">
        <is>
          <t>دواء</t>
        </is>
      </c>
      <c r="D816" s="13" t="inlineStr"/>
      <c r="E816" s="14">
        <f>L816-K816</f>
        <v/>
      </c>
      <c r="F816" s="14" t="n">
        <v>0</v>
      </c>
      <c r="G816" s="14">
        <f>F816-E816</f>
        <v/>
      </c>
      <c r="H816" s="7" t="n">
        <v>39.78</v>
      </c>
      <c r="I816" s="7">
        <f>G816*H816</f>
        <v/>
      </c>
      <c r="J816" s="16" t="inlineStr">
        <is>
          <t>لم يُجرد</t>
        </is>
      </c>
      <c r="K816" s="14" t="n">
        <v>0</v>
      </c>
      <c r="L816" s="14" t="n">
        <v>3</v>
      </c>
      <c r="M816" s="5" t="inlineStr"/>
      <c r="N816" s="5" t="inlineStr"/>
    </row>
    <row r="817">
      <c r="A817" s="13" t="inlineStr">
        <is>
          <t>0004658</t>
        </is>
      </c>
      <c r="B817" s="5" t="inlineStr">
        <is>
          <t>[0004658] VOLTIC 75MG 3 ML 5 AMP</t>
        </is>
      </c>
      <c r="C817" s="5" t="inlineStr">
        <is>
          <t>دواء</t>
        </is>
      </c>
      <c r="D817" s="13" t="inlineStr">
        <is>
          <t>010628512800089510UG</t>
        </is>
      </c>
      <c r="E817" s="14">
        <f>L817-K817</f>
        <v/>
      </c>
      <c r="F817" s="14" t="n">
        <v>0</v>
      </c>
      <c r="G817" s="14">
        <f>F817-E817</f>
        <v/>
      </c>
      <c r="H817" s="7" t="n">
        <v>26.1</v>
      </c>
      <c r="I817" s="7">
        <f>G817*H817</f>
        <v/>
      </c>
      <c r="J817" s="16" t="inlineStr">
        <is>
          <t>لم يُجرد</t>
        </is>
      </c>
      <c r="K817" s="14" t="n">
        <v>0</v>
      </c>
      <c r="L817" s="14" t="n">
        <v>5</v>
      </c>
      <c r="M817" s="5" t="inlineStr"/>
      <c r="N817" s="5" t="inlineStr"/>
    </row>
    <row r="818">
      <c r="A818" s="13" t="inlineStr">
        <is>
          <t>00045114</t>
        </is>
      </c>
      <c r="B818" s="5" t="inlineStr">
        <is>
          <t>[00045114] OTOSAN NASAL WASH 30 SACH 0165</t>
        </is>
      </c>
      <c r="C818" s="5" t="inlineStr">
        <is>
          <t>دواء</t>
        </is>
      </c>
      <c r="D818" s="13" t="inlineStr">
        <is>
          <t>8016887000165</t>
        </is>
      </c>
      <c r="E818" s="14">
        <f>L818-K818</f>
        <v/>
      </c>
      <c r="F818" s="14" t="n">
        <v>0</v>
      </c>
      <c r="G818" s="14">
        <f>F818-E818</f>
        <v/>
      </c>
      <c r="H818" s="7" t="n">
        <v>49.5</v>
      </c>
      <c r="I818" s="7">
        <f>G818*H818</f>
        <v/>
      </c>
      <c r="J818" s="16" t="inlineStr">
        <is>
          <t>لم يُجرد</t>
        </is>
      </c>
      <c r="K818" s="14" t="n">
        <v>0</v>
      </c>
      <c r="L818" s="14" t="n">
        <v>4</v>
      </c>
      <c r="M818" s="5" t="inlineStr"/>
      <c r="N818" s="5" t="inlineStr"/>
    </row>
    <row r="819">
      <c r="A819" s="13" t="inlineStr">
        <is>
          <t>00045132</t>
        </is>
      </c>
      <c r="B819" s="5" t="inlineStr">
        <is>
          <t>[00045132] VITANERV ODF 30TAB 0518</t>
        </is>
      </c>
      <c r="C819" s="5" t="inlineStr">
        <is>
          <t>دواء</t>
        </is>
      </c>
      <c r="D819" s="13" t="inlineStr">
        <is>
          <t>6285177000518</t>
        </is>
      </c>
      <c r="E819" s="14">
        <f>L819-K819</f>
        <v/>
      </c>
      <c r="F819" s="14" t="n">
        <v>0</v>
      </c>
      <c r="G819" s="14">
        <f>F819-E819</f>
        <v/>
      </c>
      <c r="H819" s="7" t="n">
        <v>49.5</v>
      </c>
      <c r="I819" s="7">
        <f>G819*H819</f>
        <v/>
      </c>
      <c r="J819" s="16" t="inlineStr">
        <is>
          <t>لم يُجرد</t>
        </is>
      </c>
      <c r="K819" s="14" t="n">
        <v>0</v>
      </c>
      <c r="L819" s="14" t="n">
        <v>4</v>
      </c>
      <c r="M819" s="5" t="inlineStr"/>
      <c r="N819" s="5" t="inlineStr"/>
    </row>
    <row r="820">
      <c r="A820" s="13" t="inlineStr">
        <is>
          <t>00018931</t>
        </is>
      </c>
      <c r="B820" s="5" t="inlineStr">
        <is>
          <t>[00018931] FILTRUM 400MG 20 TAB</t>
        </is>
      </c>
      <c r="C820" s="5" t="inlineStr">
        <is>
          <t>دواء</t>
        </is>
      </c>
      <c r="D820" s="13" t="inlineStr">
        <is>
          <t>4620305920191</t>
        </is>
      </c>
      <c r="E820" s="14">
        <f>L820-K820</f>
        <v/>
      </c>
      <c r="F820" s="14" t="n">
        <v>0</v>
      </c>
      <c r="G820" s="14">
        <f>F820-E820</f>
        <v/>
      </c>
      <c r="H820" s="7" t="n">
        <v>39.5</v>
      </c>
      <c r="I820" s="7">
        <f>G820*H820</f>
        <v/>
      </c>
      <c r="J820" s="16" t="inlineStr">
        <is>
          <t>لم يُجرد</t>
        </is>
      </c>
      <c r="K820" s="14" t="n">
        <v>0</v>
      </c>
      <c r="L820" s="14" t="n">
        <v>5</v>
      </c>
      <c r="M820" s="5" t="inlineStr"/>
      <c r="N820" s="5" t="inlineStr"/>
    </row>
    <row r="821">
      <c r="A821" s="13" t="inlineStr">
        <is>
          <t>0005743</t>
        </is>
      </c>
      <c r="B821" s="5" t="inlineStr">
        <is>
          <t>[0005743] LISINO 5 MG 30 TAB WASFA</t>
        </is>
      </c>
      <c r="C821" s="5" t="inlineStr">
        <is>
          <t>دواء</t>
        </is>
      </c>
      <c r="D821" s="13" t="inlineStr">
        <is>
          <t>010628512800057410uk</t>
        </is>
      </c>
      <c r="E821" s="14">
        <f>L821-K821</f>
        <v/>
      </c>
      <c r="F821" s="14" t="n">
        <v>0</v>
      </c>
      <c r="G821" s="14">
        <f>F821-E821</f>
        <v/>
      </c>
      <c r="H821" s="7" t="n">
        <v>16.85</v>
      </c>
      <c r="I821" s="7">
        <f>G821*H821</f>
        <v/>
      </c>
      <c r="J821" s="16" t="inlineStr">
        <is>
          <t>لم يُجرد</t>
        </is>
      </c>
      <c r="K821" s="14" t="n">
        <v>0</v>
      </c>
      <c r="L821" s="14" t="n">
        <v>7</v>
      </c>
      <c r="M821" s="5" t="inlineStr"/>
      <c r="N821" s="5" t="inlineStr"/>
    </row>
    <row r="822">
      <c r="A822" s="13" t="inlineStr">
        <is>
          <t>0003958</t>
        </is>
      </c>
      <c r="B822" s="5" t="inlineStr">
        <is>
          <t>[0003958] DICLOMAX EMULGEL 50GM</t>
        </is>
      </c>
      <c r="C822" s="5" t="inlineStr">
        <is>
          <t>دواء</t>
        </is>
      </c>
      <c r="D822" s="13" t="inlineStr">
        <is>
          <t>06285101000751</t>
        </is>
      </c>
      <c r="E822" s="14">
        <f>L822-K822</f>
        <v/>
      </c>
      <c r="F822" s="14" t="n">
        <v>0</v>
      </c>
      <c r="G822" s="14">
        <f>F822-E822</f>
        <v/>
      </c>
      <c r="H822" s="7" t="n">
        <v>13.45</v>
      </c>
      <c r="I822" s="7">
        <f>G822*H822</f>
        <v/>
      </c>
      <c r="J822" s="16" t="inlineStr">
        <is>
          <t>لم يُجرد</t>
        </is>
      </c>
      <c r="K822" s="14" t="n">
        <v>0</v>
      </c>
      <c r="L822" s="14" t="n">
        <v>10</v>
      </c>
      <c r="M822" s="5" t="inlineStr"/>
      <c r="N822" s="5" t="inlineStr"/>
    </row>
    <row r="823">
      <c r="A823" s="13" t="inlineStr">
        <is>
          <t>00048743</t>
        </is>
      </c>
      <c r="B823" s="5" t="inlineStr">
        <is>
          <t>[00048743] KOREAN GINSENG EXTRACT 2328</t>
        </is>
      </c>
      <c r="C823" s="5" t="inlineStr">
        <is>
          <t>دواء</t>
        </is>
      </c>
      <c r="D823" s="13" t="inlineStr">
        <is>
          <t>8800255102328</t>
        </is>
      </c>
      <c r="E823" s="14">
        <f>L823-K823</f>
        <v/>
      </c>
      <c r="F823" s="14" t="n">
        <v>0</v>
      </c>
      <c r="G823" s="14">
        <f>F823-E823</f>
        <v/>
      </c>
      <c r="H823" s="7" t="n">
        <v>214.5</v>
      </c>
      <c r="I823" s="7">
        <f>G823*H823</f>
        <v/>
      </c>
      <c r="J823" s="16" t="inlineStr">
        <is>
          <t>لم يُجرد</t>
        </is>
      </c>
      <c r="K823" s="14" t="n">
        <v>0</v>
      </c>
      <c r="L823" s="14" t="n">
        <v>0.75</v>
      </c>
      <c r="M823" s="5" t="inlineStr"/>
      <c r="N823" s="5" t="inlineStr"/>
    </row>
    <row r="824">
      <c r="A824" s="13" t="inlineStr">
        <is>
          <t>0004443</t>
        </is>
      </c>
      <c r="B824" s="5" t="inlineStr">
        <is>
          <t>[0004443] BIO GARLIC 300MG 60 TAB</t>
        </is>
      </c>
      <c r="C824" s="5" t="inlineStr">
        <is>
          <t>دواء</t>
        </is>
      </c>
      <c r="D824" s="13" t="inlineStr"/>
      <c r="E824" s="14">
        <f>L824-K824</f>
        <v/>
      </c>
      <c r="F824" s="14" t="n">
        <v>0</v>
      </c>
      <c r="G824" s="14">
        <f>F824-E824</f>
        <v/>
      </c>
      <c r="H824" s="7" t="n">
        <v>73</v>
      </c>
      <c r="I824" s="7">
        <f>G824*H824</f>
        <v/>
      </c>
      <c r="J824" s="16" t="inlineStr">
        <is>
          <t>لم يُجرد</t>
        </is>
      </c>
      <c r="K824" s="14" t="n">
        <v>0</v>
      </c>
      <c r="L824" s="14" t="n">
        <v>2</v>
      </c>
      <c r="M824" s="5" t="inlineStr"/>
      <c r="N824" s="5" t="inlineStr"/>
    </row>
    <row r="825">
      <c r="A825" s="13" t="inlineStr">
        <is>
          <t>00039349</t>
        </is>
      </c>
      <c r="B825" s="5" t="inlineStr">
        <is>
          <t>[00039349] MUXAVA 400MG 7 TAB ZIMMO</t>
        </is>
      </c>
      <c r="C825" s="5" t="inlineStr">
        <is>
          <t>دواء</t>
        </is>
      </c>
      <c r="D825" s="13" t="inlineStr"/>
      <c r="E825" s="14">
        <f>L825-K825</f>
        <v/>
      </c>
      <c r="F825" s="14" t="n">
        <v>0</v>
      </c>
      <c r="G825" s="14">
        <f>F825-E825</f>
        <v/>
      </c>
      <c r="H825" s="7" t="n">
        <v>58.6</v>
      </c>
      <c r="I825" s="7">
        <f>G825*H825</f>
        <v/>
      </c>
      <c r="J825" s="16" t="inlineStr">
        <is>
          <t>لم يُجرد</t>
        </is>
      </c>
      <c r="K825" s="14" t="n">
        <v>0</v>
      </c>
      <c r="L825" s="14" t="n">
        <v>2</v>
      </c>
      <c r="M825" s="5" t="inlineStr"/>
      <c r="N825" s="5" t="inlineStr"/>
    </row>
    <row r="826">
      <c r="A826" s="13" t="inlineStr">
        <is>
          <t>00023938</t>
        </is>
      </c>
      <c r="B826" s="5" t="inlineStr">
        <is>
          <t>[00023938] COENZYM PLUS MAXX 60CAP</t>
        </is>
      </c>
      <c r="C826" s="5" t="inlineStr">
        <is>
          <t>دواء</t>
        </is>
      </c>
      <c r="D826" s="13" t="inlineStr"/>
      <c r="E826" s="14">
        <f>L826-K826</f>
        <v/>
      </c>
      <c r="F826" s="14" t="n">
        <v>0</v>
      </c>
      <c r="G826" s="14">
        <f>F826-E826</f>
        <v/>
      </c>
      <c r="H826" s="7" t="n">
        <v>195</v>
      </c>
      <c r="I826" s="7">
        <f>G826*H826</f>
        <v/>
      </c>
      <c r="J826" s="16" t="inlineStr">
        <is>
          <t>لم يُجرد</t>
        </is>
      </c>
      <c r="K826" s="14" t="n">
        <v>0</v>
      </c>
      <c r="L826" s="14" t="n">
        <v>1</v>
      </c>
      <c r="M826" s="5" t="inlineStr"/>
      <c r="N826" s="5" t="inlineStr"/>
    </row>
    <row r="827">
      <c r="A827" s="13" t="inlineStr">
        <is>
          <t>0003572</t>
        </is>
      </c>
      <c r="B827" s="5" t="inlineStr">
        <is>
          <t>[0003572] GLIBIL 5MG 30 TAB******</t>
        </is>
      </c>
      <c r="C827" s="5" t="inlineStr">
        <is>
          <t>دواء</t>
        </is>
      </c>
      <c r="D827" s="13" t="inlineStr"/>
      <c r="E827" s="14">
        <f>L827-K827</f>
        <v/>
      </c>
      <c r="F827" s="14" t="n">
        <v>0</v>
      </c>
      <c r="G827" s="14">
        <f>F827-E827</f>
        <v/>
      </c>
      <c r="H827" s="7" t="n">
        <v>9.75</v>
      </c>
      <c r="I827" s="7">
        <f>G827*H827</f>
        <v/>
      </c>
      <c r="J827" s="16" t="inlineStr">
        <is>
          <t>لم يُجرد</t>
        </is>
      </c>
      <c r="K827" s="14" t="n">
        <v>0</v>
      </c>
      <c r="L827" s="14" t="n">
        <v>12</v>
      </c>
      <c r="M827" s="5" t="inlineStr"/>
      <c r="N827" s="5" t="inlineStr"/>
    </row>
    <row r="828">
      <c r="A828" s="13" t="inlineStr">
        <is>
          <t>00028395</t>
        </is>
      </c>
      <c r="B828" s="5" t="inlineStr">
        <is>
          <t>[00028395] LACTOSAT 125 MG 30CAP</t>
        </is>
      </c>
      <c r="C828" s="5" t="inlineStr">
        <is>
          <t>دواء</t>
        </is>
      </c>
      <c r="D828" s="13" t="inlineStr">
        <is>
          <t>618528968575</t>
        </is>
      </c>
      <c r="E828" s="14">
        <f>L828-K828</f>
        <v/>
      </c>
      <c r="F828" s="14" t="n">
        <v>0</v>
      </c>
      <c r="G828" s="14">
        <f>F828-E828</f>
        <v/>
      </c>
      <c r="H828" s="7" t="n">
        <v>150</v>
      </c>
      <c r="I828" s="7">
        <f>G828*H828</f>
        <v/>
      </c>
      <c r="J828" s="16" t="inlineStr">
        <is>
          <t>لم يُجرد</t>
        </is>
      </c>
      <c r="K828" s="14" t="n">
        <v>0</v>
      </c>
      <c r="L828" s="14" t="n">
        <v>1</v>
      </c>
      <c r="M828" s="5" t="inlineStr"/>
      <c r="N828" s="5" t="inlineStr"/>
    </row>
    <row r="829">
      <c r="A829" s="13" t="inlineStr">
        <is>
          <t>0003654</t>
        </is>
      </c>
      <c r="B829" s="5" t="inlineStr">
        <is>
          <t>[0003654] FLOCAZOLE 150MG 1 CAP</t>
        </is>
      </c>
      <c r="C829" s="5" t="inlineStr">
        <is>
          <t>دواء</t>
        </is>
      </c>
      <c r="D829" s="13" t="inlineStr">
        <is>
          <t>06281086012017</t>
        </is>
      </c>
      <c r="E829" s="14">
        <f>L829-K829</f>
        <v/>
      </c>
      <c r="F829" s="14" t="n">
        <v>0</v>
      </c>
      <c r="G829" s="14">
        <f>F829-E829</f>
        <v/>
      </c>
      <c r="H829" s="7" t="n">
        <v>19.45</v>
      </c>
      <c r="I829" s="7">
        <f>G829*H829</f>
        <v/>
      </c>
      <c r="J829" s="16" t="inlineStr">
        <is>
          <t>لم يُجرد</t>
        </is>
      </c>
      <c r="K829" s="14" t="n">
        <v>0</v>
      </c>
      <c r="L829" s="14" t="n">
        <v>6</v>
      </c>
      <c r="M829" s="5" t="inlineStr"/>
      <c r="N829" s="5" t="inlineStr"/>
    </row>
    <row r="830">
      <c r="A830" s="13" t="inlineStr">
        <is>
          <t>0003402</t>
        </is>
      </c>
      <c r="B830" s="5" t="inlineStr">
        <is>
          <t>[0003402] ARKO CHARBON 45 CAPS</t>
        </is>
      </c>
      <c r="C830" s="5" t="inlineStr">
        <is>
          <t>دواء</t>
        </is>
      </c>
      <c r="D830" s="13" t="inlineStr">
        <is>
          <t>3578830110444</t>
        </is>
      </c>
      <c r="E830" s="14">
        <f>L830-K830</f>
        <v/>
      </c>
      <c r="F830" s="14" t="n">
        <v>0</v>
      </c>
      <c r="G830" s="14">
        <f>F830-E830</f>
        <v/>
      </c>
      <c r="H830" s="7" t="n">
        <v>19.4</v>
      </c>
      <c r="I830" s="7">
        <f>G830*H830</f>
        <v/>
      </c>
      <c r="J830" s="16" t="inlineStr">
        <is>
          <t>لم يُجرد</t>
        </is>
      </c>
      <c r="K830" s="14" t="n">
        <v>0</v>
      </c>
      <c r="L830" s="14" t="n">
        <v>6</v>
      </c>
      <c r="M830" s="5" t="inlineStr"/>
      <c r="N830" s="5" t="inlineStr"/>
    </row>
    <row r="831">
      <c r="A831" s="13" t="inlineStr">
        <is>
          <t>00044424</t>
        </is>
      </c>
      <c r="B831" s="5" t="inlineStr">
        <is>
          <t>[00044424] MEGAMOX ES-600 SUSP 100 ML</t>
        </is>
      </c>
      <c r="C831" s="5" t="inlineStr">
        <is>
          <t>دواء</t>
        </is>
      </c>
      <c r="D831" s="13" t="inlineStr"/>
      <c r="E831" s="14">
        <f>L831-K831</f>
        <v/>
      </c>
      <c r="F831" s="14" t="n">
        <v>0</v>
      </c>
      <c r="G831" s="14">
        <f>F831-E831</f>
        <v/>
      </c>
      <c r="H831" s="7" t="n">
        <v>29.4</v>
      </c>
      <c r="I831" s="7">
        <f>G831*H831</f>
        <v/>
      </c>
      <c r="J831" s="16" t="inlineStr">
        <is>
          <t>لم يُجرد</t>
        </is>
      </c>
      <c r="K831" s="14" t="n">
        <v>0</v>
      </c>
      <c r="L831" s="14" t="n">
        <v>4</v>
      </c>
      <c r="M831" s="5" t="inlineStr"/>
      <c r="N831" s="5" t="inlineStr"/>
    </row>
    <row r="832">
      <c r="A832" s="13" t="inlineStr">
        <is>
          <t>00027172</t>
        </is>
      </c>
      <c r="B832" s="5" t="inlineStr">
        <is>
          <t>[00027172] SEVIKAR HCT 40/5/12.5MG 28TAB</t>
        </is>
      </c>
      <c r="C832" s="5" t="inlineStr">
        <is>
          <t>دواء</t>
        </is>
      </c>
      <c r="D832" s="13" t="inlineStr"/>
      <c r="E832" s="14">
        <f>L832-K832</f>
        <v/>
      </c>
      <c r="F832" s="14" t="n">
        <v>0</v>
      </c>
      <c r="G832" s="14">
        <f>F832-E832</f>
        <v/>
      </c>
      <c r="H832" s="7" t="n">
        <v>110.95</v>
      </c>
      <c r="I832" s="7">
        <f>G832*H832</f>
        <v/>
      </c>
      <c r="J832" s="16" t="inlineStr">
        <is>
          <t>لم يُجرد</t>
        </is>
      </c>
      <c r="K832" s="14" t="n">
        <v>0</v>
      </c>
      <c r="L832" s="14" t="n">
        <v>1</v>
      </c>
      <c r="M832" s="5" t="inlineStr"/>
      <c r="N832" s="5" t="inlineStr"/>
    </row>
    <row r="833">
      <c r="A833" s="13" t="inlineStr">
        <is>
          <t>00037311</t>
        </is>
      </c>
      <c r="B833" s="5" t="inlineStr">
        <is>
          <t>[00037311] MARIGOLD CREAM 50ML</t>
        </is>
      </c>
      <c r="C833" s="5" t="inlineStr">
        <is>
          <t>دواء</t>
        </is>
      </c>
      <c r="D833" s="13" t="inlineStr"/>
      <c r="E833" s="14">
        <f>L833-K833</f>
        <v/>
      </c>
      <c r="F833" s="14" t="n">
        <v>0</v>
      </c>
      <c r="G833" s="14">
        <f>F833-E833</f>
        <v/>
      </c>
      <c r="H833" s="7" t="n">
        <v>60</v>
      </c>
      <c r="I833" s="7">
        <f>G833*H833</f>
        <v/>
      </c>
      <c r="J833" s="16" t="inlineStr">
        <is>
          <t>لم يُجرد</t>
        </is>
      </c>
      <c r="K833" s="14" t="n">
        <v>0</v>
      </c>
      <c r="L833" s="14" t="n">
        <v>4</v>
      </c>
      <c r="M833" s="5" t="inlineStr"/>
      <c r="N833" s="5" t="inlineStr"/>
    </row>
    <row r="834">
      <c r="A834" s="13" t="inlineStr">
        <is>
          <t>0005101</t>
        </is>
      </c>
      <c r="B834" s="5" t="inlineStr">
        <is>
          <t>[0005101] RIAZOLIN 0.1% EYE DROPS</t>
        </is>
      </c>
      <c r="C834" s="5" t="inlineStr">
        <is>
          <t>دواء</t>
        </is>
      </c>
      <c r="D834" s="13" t="inlineStr">
        <is>
          <t>6281080002007</t>
        </is>
      </c>
      <c r="E834" s="14">
        <f>L834-K834</f>
        <v/>
      </c>
      <c r="F834" s="14" t="n">
        <v>0</v>
      </c>
      <c r="G834" s="14">
        <f>F834-E834</f>
        <v/>
      </c>
      <c r="H834" s="7" t="n">
        <v>16.65</v>
      </c>
      <c r="I834" s="7">
        <f>G834*H834</f>
        <v/>
      </c>
      <c r="J834" s="16" t="inlineStr">
        <is>
          <t>لم يُجرد</t>
        </is>
      </c>
      <c r="K834" s="14" t="n">
        <v>0</v>
      </c>
      <c r="L834" s="14" t="n">
        <v>10</v>
      </c>
      <c r="M834" s="5" t="inlineStr"/>
      <c r="N834" s="5" t="inlineStr"/>
    </row>
    <row r="835">
      <c r="A835" s="13" t="inlineStr">
        <is>
          <t>00021013</t>
        </is>
      </c>
      <c r="B835" s="5" t="inlineStr">
        <is>
          <t>[00021013] SALONPAS SPRAY 118ML</t>
        </is>
      </c>
      <c r="C835" s="5" t="inlineStr">
        <is>
          <t>دواء</t>
        </is>
      </c>
      <c r="D835" s="13" t="inlineStr">
        <is>
          <t>4987188512036</t>
        </is>
      </c>
      <c r="E835" s="14">
        <f>L835-K835</f>
        <v/>
      </c>
      <c r="F835" s="14" t="n">
        <v>0</v>
      </c>
      <c r="G835" s="14">
        <f>F835-E835</f>
        <v/>
      </c>
      <c r="H835" s="7" t="n">
        <v>61.88</v>
      </c>
      <c r="I835" s="7">
        <f>G835*H835</f>
        <v/>
      </c>
      <c r="J835" s="16" t="inlineStr">
        <is>
          <t>لم يُجرد</t>
        </is>
      </c>
      <c r="K835" s="14" t="n">
        <v>0</v>
      </c>
      <c r="L835" s="14" t="n">
        <v>2</v>
      </c>
      <c r="M835" s="5" t="inlineStr"/>
      <c r="N835" s="5" t="inlineStr"/>
    </row>
    <row r="836">
      <c r="A836" s="13" t="inlineStr">
        <is>
          <t>00024235</t>
        </is>
      </c>
      <c r="B836" s="5" t="inlineStr">
        <is>
          <t>[00024235] JP COQ10 100MG 30CAP</t>
        </is>
      </c>
      <c r="C836" s="5" t="inlineStr">
        <is>
          <t>دواء</t>
        </is>
      </c>
      <c r="D836" s="13" t="inlineStr">
        <is>
          <t>6281200000470</t>
        </is>
      </c>
      <c r="E836" s="14">
        <f>L836-K836</f>
        <v/>
      </c>
      <c r="F836" s="14" t="n">
        <v>0</v>
      </c>
      <c r="G836" s="14">
        <f>F836-E836</f>
        <v/>
      </c>
      <c r="H836" s="7" t="n">
        <v>112</v>
      </c>
      <c r="I836" s="7">
        <f>G836*H836</f>
        <v/>
      </c>
      <c r="J836" s="16" t="inlineStr">
        <is>
          <t>لم يُجرد</t>
        </is>
      </c>
      <c r="K836" s="14" t="n">
        <v>0</v>
      </c>
      <c r="L836" s="14" t="n">
        <v>1</v>
      </c>
      <c r="M836" s="5" t="inlineStr"/>
      <c r="N836" s="5" t="inlineStr"/>
    </row>
    <row r="837">
      <c r="A837" s="13" t="inlineStr">
        <is>
          <t>00021171</t>
        </is>
      </c>
      <c r="B837" s="5" t="inlineStr">
        <is>
          <t>[00021171] LEVOZAL ORAL SOLUTION 200ML</t>
        </is>
      </c>
      <c r="C837" s="5" t="inlineStr">
        <is>
          <t>دواء</t>
        </is>
      </c>
      <c r="D837" s="13" t="inlineStr">
        <is>
          <t>06285128012713</t>
        </is>
      </c>
      <c r="E837" s="14">
        <f>L837-K837</f>
        <v/>
      </c>
      <c r="F837" s="14" t="n">
        <v>0</v>
      </c>
      <c r="G837" s="14">
        <f>F837-E837</f>
        <v/>
      </c>
      <c r="H837" s="7" t="n">
        <v>28.5</v>
      </c>
      <c r="I837" s="7">
        <f>G837*H837</f>
        <v/>
      </c>
      <c r="J837" s="16" t="inlineStr">
        <is>
          <t>لم يُجرد</t>
        </is>
      </c>
      <c r="K837" s="14" t="n">
        <v>0</v>
      </c>
      <c r="L837" s="14" t="n">
        <v>4</v>
      </c>
      <c r="M837" s="5" t="inlineStr"/>
      <c r="N837" s="5" t="inlineStr"/>
    </row>
    <row r="838">
      <c r="A838" s="13" t="inlineStr">
        <is>
          <t>00023937</t>
        </is>
      </c>
      <c r="B838" s="5" t="inlineStr">
        <is>
          <t>[00023937] VIPER MAXX 60CAP</t>
        </is>
      </c>
      <c r="C838" s="5" t="inlineStr">
        <is>
          <t>دواء</t>
        </is>
      </c>
      <c r="D838" s="13" t="inlineStr">
        <is>
          <t>8410885092557</t>
        </is>
      </c>
      <c r="E838" s="14">
        <f>L838-K838</f>
        <v/>
      </c>
      <c r="F838" s="14" t="n">
        <v>0</v>
      </c>
      <c r="G838" s="14">
        <f>F838-E838</f>
        <v/>
      </c>
      <c r="H838" s="7" t="n">
        <v>190</v>
      </c>
      <c r="I838" s="7">
        <f>G838*H838</f>
        <v/>
      </c>
      <c r="J838" s="16" t="inlineStr">
        <is>
          <t>لم يُجرد</t>
        </is>
      </c>
      <c r="K838" s="14" t="n">
        <v>0</v>
      </c>
      <c r="L838" s="14" t="n">
        <v>1</v>
      </c>
      <c r="M838" s="5" t="inlineStr"/>
      <c r="N838" s="5" t="inlineStr"/>
    </row>
    <row r="839">
      <c r="A839" s="13" t="inlineStr">
        <is>
          <t>00048248</t>
        </is>
      </c>
      <c r="B839" s="5" t="inlineStr">
        <is>
          <t>[00048248] MR TUMEE MULTI VITAMIN 60 GUMEE 0035</t>
        </is>
      </c>
      <c r="C839" s="5" t="inlineStr">
        <is>
          <t>دواء</t>
        </is>
      </c>
      <c r="D839" s="13" t="inlineStr">
        <is>
          <t>835776000035</t>
        </is>
      </c>
      <c r="E839" s="14">
        <f>L839-K839</f>
        <v/>
      </c>
      <c r="F839" s="14" t="n">
        <v>0</v>
      </c>
      <c r="G839" s="14">
        <f>F839-E839</f>
        <v/>
      </c>
      <c r="H839" s="7" t="n">
        <v>124</v>
      </c>
      <c r="I839" s="7">
        <f>G839*H839</f>
        <v/>
      </c>
      <c r="J839" s="16" t="inlineStr">
        <is>
          <t>لم يُجرد</t>
        </is>
      </c>
      <c r="K839" s="14" t="n">
        <v>0</v>
      </c>
      <c r="L839" s="14" t="n">
        <v>2</v>
      </c>
      <c r="M839" s="5" t="inlineStr"/>
      <c r="N839" s="5" t="inlineStr"/>
    </row>
    <row r="840">
      <c r="A840" s="13" t="inlineStr">
        <is>
          <t>0005589</t>
        </is>
      </c>
      <c r="B840" s="5" t="inlineStr">
        <is>
          <t>[0005589] MYCOHEAL ORAL GEL 40GM WASFA</t>
        </is>
      </c>
      <c r="C840" s="5" t="inlineStr">
        <is>
          <t>دواء</t>
        </is>
      </c>
      <c r="D840" s="13" t="inlineStr"/>
      <c r="E840" s="14">
        <f>L840-K840</f>
        <v/>
      </c>
      <c r="F840" s="14" t="n">
        <v>0</v>
      </c>
      <c r="G840" s="14">
        <f>F840-E840</f>
        <v/>
      </c>
      <c r="H840" s="7" t="n">
        <v>12.65</v>
      </c>
      <c r="I840" s="7">
        <f>G840*H840</f>
        <v/>
      </c>
      <c r="J840" s="16" t="inlineStr">
        <is>
          <t>لم يُجرد</t>
        </is>
      </c>
      <c r="K840" s="14" t="n">
        <v>0</v>
      </c>
      <c r="L840" s="14" t="n">
        <v>9</v>
      </c>
      <c r="M840" s="5" t="inlineStr"/>
      <c r="N840" s="5" t="inlineStr"/>
    </row>
    <row r="841">
      <c r="A841" s="13" t="inlineStr">
        <is>
          <t>0003964</t>
        </is>
      </c>
      <c r="B841" s="5" t="inlineStr">
        <is>
          <t>[0003964] DIFFERIN 01% GEL 30GM</t>
        </is>
      </c>
      <c r="C841" s="5" t="inlineStr">
        <is>
          <t>دواء</t>
        </is>
      </c>
      <c r="D841" s="13" t="inlineStr">
        <is>
          <t>03499320010849</t>
        </is>
      </c>
      <c r="E841" s="14">
        <f>L841-K841</f>
        <v/>
      </c>
      <c r="F841" s="14" t="n">
        <v>0</v>
      </c>
      <c r="G841" s="14">
        <f>F841-E841</f>
        <v/>
      </c>
      <c r="H841" s="7" t="n">
        <v>18.75</v>
      </c>
      <c r="I841" s="7">
        <f>G841*H841</f>
        <v/>
      </c>
      <c r="J841" s="16" t="inlineStr">
        <is>
          <t>لم يُجرد</t>
        </is>
      </c>
      <c r="K841" s="14" t="n">
        <v>0</v>
      </c>
      <c r="L841" s="14" t="n">
        <v>6</v>
      </c>
      <c r="M841" s="5" t="inlineStr"/>
      <c r="N841" s="5" t="inlineStr"/>
    </row>
    <row r="842">
      <c r="A842" s="13" t="inlineStr">
        <is>
          <t>00018751</t>
        </is>
      </c>
      <c r="B842" s="5" t="inlineStr">
        <is>
          <t>[00018751] COLLAGEN  MOTHERNEST CANDY</t>
        </is>
      </c>
      <c r="C842" s="5" t="inlineStr">
        <is>
          <t>دواء</t>
        </is>
      </c>
      <c r="D842" s="13" t="inlineStr">
        <is>
          <t>9327155006895</t>
        </is>
      </c>
      <c r="E842" s="14">
        <f>L842-K842</f>
        <v/>
      </c>
      <c r="F842" s="14" t="n">
        <v>0</v>
      </c>
      <c r="G842" s="14">
        <f>F842-E842</f>
        <v/>
      </c>
      <c r="H842" s="7" t="n">
        <v>160</v>
      </c>
      <c r="I842" s="7">
        <f>G842*H842</f>
        <v/>
      </c>
      <c r="J842" s="16" t="inlineStr">
        <is>
          <t>لم يُجرد</t>
        </is>
      </c>
      <c r="K842" s="14" t="n">
        <v>0</v>
      </c>
      <c r="L842" s="14" t="n">
        <v>1</v>
      </c>
      <c r="M842" s="5" t="inlineStr"/>
      <c r="N842" s="5" t="inlineStr"/>
    </row>
    <row r="843">
      <c r="A843" s="13" t="inlineStr">
        <is>
          <t>00036510</t>
        </is>
      </c>
      <c r="B843" s="5" t="inlineStr">
        <is>
          <t>[00036510] CEBATIX 200MG 30CAP</t>
        </is>
      </c>
      <c r="C843" s="5" t="inlineStr">
        <is>
          <t>دواء</t>
        </is>
      </c>
      <c r="D843" s="13" t="inlineStr"/>
      <c r="E843" s="14">
        <f>L843-K843</f>
        <v/>
      </c>
      <c r="F843" s="14" t="n">
        <v>0</v>
      </c>
      <c r="G843" s="14">
        <f>F843-E843</f>
        <v/>
      </c>
      <c r="H843" s="7" t="n">
        <v>37.5</v>
      </c>
      <c r="I843" s="7">
        <f>G843*H843</f>
        <v/>
      </c>
      <c r="J843" s="16" t="inlineStr">
        <is>
          <t>لم يُجرد</t>
        </is>
      </c>
      <c r="K843" s="14" t="n">
        <v>0</v>
      </c>
      <c r="L843" s="14" t="n">
        <v>3</v>
      </c>
      <c r="M843" s="5" t="inlineStr"/>
      <c r="N843" s="5" t="inlineStr"/>
    </row>
    <row r="844">
      <c r="A844" s="13" t="inlineStr">
        <is>
          <t>0003710</t>
        </is>
      </c>
      <c r="B844" s="5" t="inlineStr">
        <is>
          <t>[0003710] GALVUS 50MG 28TAB TMR</t>
        </is>
      </c>
      <c r="C844" s="5" t="inlineStr">
        <is>
          <t>دواء</t>
        </is>
      </c>
      <c r="D844" s="13" t="inlineStr"/>
      <c r="E844" s="14">
        <f>L844-K844</f>
        <v/>
      </c>
      <c r="F844" s="14" t="n">
        <v>0</v>
      </c>
      <c r="G844" s="14">
        <f>F844-E844</f>
        <v/>
      </c>
      <c r="H844" s="7" t="n">
        <v>56.1</v>
      </c>
      <c r="I844" s="7">
        <f>G844*H844</f>
        <v/>
      </c>
      <c r="J844" s="16" t="inlineStr">
        <is>
          <t>لم يُجرد</t>
        </is>
      </c>
      <c r="K844" s="14" t="n">
        <v>0</v>
      </c>
      <c r="L844" s="14" t="n">
        <v>2</v>
      </c>
      <c r="M844" s="5" t="inlineStr"/>
      <c r="N844" s="5" t="inlineStr"/>
    </row>
    <row r="845">
      <c r="A845" s="13" t="inlineStr">
        <is>
          <t>0003618</t>
        </is>
      </c>
      <c r="B845" s="5" t="inlineStr">
        <is>
          <t>[0003618] FLEET ADULT ENEMA 133ML</t>
        </is>
      </c>
      <c r="C845" s="5" t="inlineStr">
        <is>
          <t>دواء</t>
        </is>
      </c>
      <c r="D845" s="13" t="inlineStr">
        <is>
          <t>00301320005257</t>
        </is>
      </c>
      <c r="E845" s="14">
        <f>L845-K845</f>
        <v/>
      </c>
      <c r="F845" s="14" t="n">
        <v>0</v>
      </c>
      <c r="G845" s="14">
        <f>F845-E845</f>
        <v/>
      </c>
      <c r="H845" s="7" t="n">
        <v>16.05</v>
      </c>
      <c r="I845" s="7">
        <f>G845*H845</f>
        <v/>
      </c>
      <c r="J845" s="16" t="inlineStr">
        <is>
          <t>لم يُجرد</t>
        </is>
      </c>
      <c r="K845" s="14" t="n">
        <v>0</v>
      </c>
      <c r="L845" s="14" t="n">
        <v>7</v>
      </c>
      <c r="M845" s="5" t="inlineStr"/>
      <c r="N845" s="5" t="inlineStr"/>
    </row>
    <row r="846">
      <c r="A846" s="13" t="inlineStr">
        <is>
          <t>00048558</t>
        </is>
      </c>
      <c r="B846" s="5" t="inlineStr">
        <is>
          <t>[00048558] GUMAZING CALCIUM+VITAMIN D3 K2 60PCS</t>
        </is>
      </c>
      <c r="C846" s="5" t="inlineStr">
        <is>
          <t>دواء</t>
        </is>
      </c>
      <c r="D846" s="13" t="inlineStr">
        <is>
          <t>5060748883995</t>
        </is>
      </c>
      <c r="E846" s="14">
        <f>L846-K846</f>
        <v/>
      </c>
      <c r="F846" s="14" t="n">
        <v>0</v>
      </c>
      <c r="G846" s="14">
        <f>F846-E846</f>
        <v/>
      </c>
      <c r="H846" s="7" t="n">
        <v>155</v>
      </c>
      <c r="I846" s="7">
        <f>G846*H846</f>
        <v/>
      </c>
      <c r="J846" s="16" t="inlineStr">
        <is>
          <t>لم يُجرد</t>
        </is>
      </c>
      <c r="K846" s="14" t="n">
        <v>0</v>
      </c>
      <c r="L846" s="14" t="n">
        <v>2</v>
      </c>
      <c r="M846" s="5" t="inlineStr"/>
      <c r="N846" s="5" t="inlineStr"/>
    </row>
    <row r="847">
      <c r="A847" s="13" t="inlineStr">
        <is>
          <t>00048822</t>
        </is>
      </c>
      <c r="B847" s="5" t="inlineStr">
        <is>
          <t>[00048822] MAW OMEGA 3 600 MG 30 1188 CAPS</t>
        </is>
      </c>
      <c r="C847" s="5" t="inlineStr">
        <is>
          <t>دواء</t>
        </is>
      </c>
      <c r="D847" s="13" t="inlineStr">
        <is>
          <t>6286709001188</t>
        </is>
      </c>
      <c r="E847" s="14">
        <f>L847-K847</f>
        <v/>
      </c>
      <c r="F847" s="14" t="n">
        <v>0</v>
      </c>
      <c r="G847" s="14">
        <f>F847-E847</f>
        <v/>
      </c>
      <c r="H847" s="7" t="n">
        <v>77.39</v>
      </c>
      <c r="I847" s="7">
        <f>G847*H847</f>
        <v/>
      </c>
      <c r="J847" s="16" t="inlineStr">
        <is>
          <t>لم يُجرد</t>
        </is>
      </c>
      <c r="K847" s="14" t="n">
        <v>0</v>
      </c>
      <c r="L847" s="14" t="n">
        <v>3</v>
      </c>
      <c r="M847" s="5" t="inlineStr"/>
      <c r="N847" s="5" t="inlineStr"/>
    </row>
    <row r="848">
      <c r="A848" s="13" t="inlineStr">
        <is>
          <t>0003626</t>
        </is>
      </c>
      <c r="B848" s="5" t="inlineStr">
        <is>
          <t>[0003626] FOLICUM 5 MG 20 TAB</t>
        </is>
      </c>
      <c r="C848" s="5" t="inlineStr">
        <is>
          <t>دواء</t>
        </is>
      </c>
      <c r="D848" s="13" t="inlineStr">
        <is>
          <t>01062911000820011720</t>
        </is>
      </c>
      <c r="E848" s="14">
        <f>L848-K848</f>
        <v/>
      </c>
      <c r="F848" s="14" t="n">
        <v>0</v>
      </c>
      <c r="G848" s="14">
        <f>F848-E848</f>
        <v/>
      </c>
      <c r="H848" s="7" t="n">
        <v>6.15</v>
      </c>
      <c r="I848" s="7">
        <f>G848*H848</f>
        <v/>
      </c>
      <c r="J848" s="16" t="inlineStr">
        <is>
          <t>لم يُجرد</t>
        </is>
      </c>
      <c r="K848" s="14" t="n">
        <v>0</v>
      </c>
      <c r="L848" s="14" t="n">
        <v>18</v>
      </c>
      <c r="M848" s="5" t="inlineStr"/>
      <c r="N848" s="5" t="inlineStr"/>
    </row>
    <row r="849">
      <c r="A849" s="13" t="inlineStr">
        <is>
          <t>00018936</t>
        </is>
      </c>
      <c r="B849" s="5" t="inlineStr">
        <is>
          <t>[00018936] OTOSAN THROATGEL FORTE 14 STICKS</t>
        </is>
      </c>
      <c r="C849" s="5" t="inlineStr">
        <is>
          <t>دواء</t>
        </is>
      </c>
      <c r="D849" s="13" t="inlineStr"/>
      <c r="E849" s="14">
        <f>L849-K849</f>
        <v/>
      </c>
      <c r="F849" s="14" t="n">
        <v>0</v>
      </c>
      <c r="G849" s="14">
        <f>F849-E849</f>
        <v/>
      </c>
      <c r="H849" s="7" t="n">
        <v>46</v>
      </c>
      <c r="I849" s="7">
        <f>G849*H849</f>
        <v/>
      </c>
      <c r="J849" s="16" t="inlineStr">
        <is>
          <t>لم يُجرد</t>
        </is>
      </c>
      <c r="K849" s="14" t="n">
        <v>0</v>
      </c>
      <c r="L849" s="14" t="n">
        <v>4</v>
      </c>
      <c r="M849" s="5" t="inlineStr"/>
      <c r="N849" s="5" t="inlineStr"/>
    </row>
    <row r="850">
      <c r="A850" s="13" t="inlineStr">
        <is>
          <t>0005373</t>
        </is>
      </c>
      <c r="B850" s="5" t="inlineStr">
        <is>
          <t>[0005373] OTRIVIN 0.1% ADULT N. DROPS 10ML</t>
        </is>
      </c>
      <c r="C850" s="5" t="inlineStr">
        <is>
          <t>دواء</t>
        </is>
      </c>
      <c r="D850" s="13" t="inlineStr"/>
      <c r="E850" s="14">
        <f>L850-K850</f>
        <v/>
      </c>
      <c r="F850" s="14" t="n">
        <v>0</v>
      </c>
      <c r="G850" s="14">
        <f>F850-E850</f>
        <v/>
      </c>
      <c r="H850" s="7" t="n">
        <v>11.05</v>
      </c>
      <c r="I850" s="7">
        <f>G850*H850</f>
        <v/>
      </c>
      <c r="J850" s="16" t="inlineStr">
        <is>
          <t>لم يُجرد</t>
        </is>
      </c>
      <c r="K850" s="14" t="n">
        <v>0</v>
      </c>
      <c r="L850" s="14" t="n">
        <v>10</v>
      </c>
      <c r="M850" s="5" t="inlineStr"/>
      <c r="N850" s="5" t="inlineStr"/>
    </row>
    <row r="851">
      <c r="A851" s="13" t="inlineStr">
        <is>
          <t>00018531</t>
        </is>
      </c>
      <c r="B851" s="5" t="inlineStr">
        <is>
          <t>[00018531] CREVAST 10 MG TAB</t>
        </is>
      </c>
      <c r="C851" s="5" t="inlineStr">
        <is>
          <t>دواء</t>
        </is>
      </c>
      <c r="D851" s="13" t="inlineStr">
        <is>
          <t>06281086003398</t>
        </is>
      </c>
      <c r="E851" s="14">
        <f>L851-K851</f>
        <v/>
      </c>
      <c r="F851" s="14" t="n">
        <v>0</v>
      </c>
      <c r="G851" s="14">
        <f>F851-E851</f>
        <v/>
      </c>
      <c r="H851" s="7" t="n">
        <v>55.15</v>
      </c>
      <c r="I851" s="7">
        <f>G851*H851</f>
        <v/>
      </c>
      <c r="J851" s="16" t="inlineStr">
        <is>
          <t>لم يُجرد</t>
        </is>
      </c>
      <c r="K851" s="14" t="n">
        <v>0</v>
      </c>
      <c r="L851" s="14" t="n">
        <v>2</v>
      </c>
      <c r="M851" s="5" t="inlineStr"/>
      <c r="N851" s="5" t="inlineStr"/>
    </row>
    <row r="852">
      <c r="A852" s="13" t="inlineStr">
        <is>
          <t>0004008</t>
        </is>
      </c>
      <c r="B852" s="5" t="inlineStr">
        <is>
          <t>[0004008] ALKA-UR EFF GRANULES 30 SACHET</t>
        </is>
      </c>
      <c r="C852" s="5" t="inlineStr">
        <is>
          <t>دواء</t>
        </is>
      </c>
      <c r="D852" s="13" t="inlineStr">
        <is>
          <t>06285105000092</t>
        </is>
      </c>
      <c r="E852" s="14">
        <f>L852-K852</f>
        <v/>
      </c>
      <c r="F852" s="14" t="n">
        <v>0</v>
      </c>
      <c r="G852" s="14">
        <f>F852-E852</f>
        <v/>
      </c>
      <c r="H852" s="7" t="n">
        <v>29.25</v>
      </c>
      <c r="I852" s="7">
        <f>G852*H852</f>
        <v/>
      </c>
      <c r="J852" s="16" t="inlineStr">
        <is>
          <t>لم يُجرد</t>
        </is>
      </c>
      <c r="K852" s="14" t="n">
        <v>0</v>
      </c>
      <c r="L852" s="14" t="n">
        <v>4</v>
      </c>
      <c r="M852" s="5" t="inlineStr"/>
      <c r="N852" s="5" t="inlineStr"/>
    </row>
    <row r="853">
      <c r="A853" s="13" t="inlineStr">
        <is>
          <t>00012816</t>
        </is>
      </c>
      <c r="B853" s="5" t="inlineStr">
        <is>
          <t>[00012816] AVALON AMAGLIME 2MG 30TAB</t>
        </is>
      </c>
      <c r="C853" s="5" t="inlineStr">
        <is>
          <t>دواء</t>
        </is>
      </c>
      <c r="D853" s="13" t="inlineStr">
        <is>
          <t>01062850950068381719</t>
        </is>
      </c>
      <c r="E853" s="14">
        <f>L853-K853</f>
        <v/>
      </c>
      <c r="F853" s="14" t="n">
        <v>0</v>
      </c>
      <c r="G853" s="14">
        <f>F853-E853</f>
        <v/>
      </c>
      <c r="H853" s="7" t="n">
        <v>13.7</v>
      </c>
      <c r="I853" s="7">
        <f>G853*H853</f>
        <v/>
      </c>
      <c r="J853" s="16" t="inlineStr">
        <is>
          <t>لم يُجرد</t>
        </is>
      </c>
      <c r="K853" s="14" t="n">
        <v>0</v>
      </c>
      <c r="L853" s="14" t="n">
        <v>8</v>
      </c>
      <c r="M853" s="5" t="inlineStr"/>
      <c r="N853" s="5" t="inlineStr"/>
    </row>
    <row r="854">
      <c r="A854" s="13" t="inlineStr">
        <is>
          <t>00019554</t>
        </is>
      </c>
      <c r="B854" s="5" t="inlineStr">
        <is>
          <t>[00019554] RELAXON FORTE 500MG 30 CAPS WASFA</t>
        </is>
      </c>
      <c r="C854" s="5" t="inlineStr">
        <is>
          <t>دواء</t>
        </is>
      </c>
      <c r="D854" s="13" t="inlineStr"/>
      <c r="E854" s="14">
        <f>L854-K854</f>
        <v/>
      </c>
      <c r="F854" s="14" t="n">
        <v>0</v>
      </c>
      <c r="G854" s="14">
        <f>F854-E854</f>
        <v/>
      </c>
      <c r="H854" s="7" t="n">
        <v>24.3</v>
      </c>
      <c r="I854" s="7">
        <f>G854*H854</f>
        <v/>
      </c>
      <c r="J854" s="16" t="inlineStr">
        <is>
          <t>لم يُجرد</t>
        </is>
      </c>
      <c r="K854" s="14" t="n">
        <v>0</v>
      </c>
      <c r="L854" s="14" t="n">
        <v>5</v>
      </c>
      <c r="M854" s="5" t="inlineStr"/>
      <c r="N854" s="5" t="inlineStr"/>
    </row>
    <row r="855">
      <c r="A855" s="13" t="inlineStr">
        <is>
          <t>0004770</t>
        </is>
      </c>
      <c r="B855" s="5" t="inlineStr">
        <is>
          <t>[0004770] TELFAST 180MG 15 TAB</t>
        </is>
      </c>
      <c r="C855" s="5" t="inlineStr">
        <is>
          <t>دواء</t>
        </is>
      </c>
      <c r="D855" s="13" t="inlineStr">
        <is>
          <t>06285088001277</t>
        </is>
      </c>
      <c r="E855" s="14">
        <f>L855-K855</f>
        <v/>
      </c>
      <c r="F855" s="14" t="n">
        <v>0</v>
      </c>
      <c r="G855" s="14">
        <f>F855-E855</f>
        <v/>
      </c>
      <c r="H855" s="7" t="n">
        <v>28.65</v>
      </c>
      <c r="I855" s="7">
        <f>G855*H855</f>
        <v/>
      </c>
      <c r="J855" s="16" t="inlineStr">
        <is>
          <t>لم يُجرد</t>
        </is>
      </c>
      <c r="K855" s="14" t="n">
        <v>0</v>
      </c>
      <c r="L855" s="14" t="n">
        <v>4</v>
      </c>
      <c r="M855" s="5" t="inlineStr"/>
      <c r="N855" s="5" t="inlineStr"/>
    </row>
    <row r="856">
      <c r="A856" s="13" t="inlineStr">
        <is>
          <t>0003448</t>
        </is>
      </c>
      <c r="B856" s="5" t="inlineStr">
        <is>
          <t>[0003448] IVARIN 20MG TAB WASFA</t>
        </is>
      </c>
      <c r="C856" s="5" t="inlineStr">
        <is>
          <t>دواء</t>
        </is>
      </c>
      <c r="D856" s="13" t="inlineStr">
        <is>
          <t>6281102233747</t>
        </is>
      </c>
      <c r="E856" s="14">
        <f>L856-K856</f>
        <v/>
      </c>
      <c r="F856" s="14" t="n">
        <v>0</v>
      </c>
      <c r="G856" s="14">
        <f>F856-E856</f>
        <v/>
      </c>
      <c r="H856" s="7" t="n">
        <v>128.3</v>
      </c>
      <c r="I856" s="7">
        <f>G856*H856</f>
        <v/>
      </c>
      <c r="J856" s="16" t="inlineStr">
        <is>
          <t>لم يُجرد</t>
        </is>
      </c>
      <c r="K856" s="14" t="n">
        <v>0</v>
      </c>
      <c r="L856" s="14" t="n">
        <v>1</v>
      </c>
      <c r="M856" s="5" t="inlineStr"/>
      <c r="N856" s="5" t="inlineStr"/>
    </row>
    <row r="857">
      <c r="A857" s="13" t="inlineStr">
        <is>
          <t>00020464</t>
        </is>
      </c>
      <c r="B857" s="5" t="inlineStr">
        <is>
          <t>[00020464] VAJISIL V.WASH 250ML</t>
        </is>
      </c>
      <c r="C857" s="5" t="inlineStr">
        <is>
          <t>دواء</t>
        </is>
      </c>
      <c r="D857" s="13" t="inlineStr">
        <is>
          <t>6287017610024</t>
        </is>
      </c>
      <c r="E857" s="14">
        <f>L857-K857</f>
        <v/>
      </c>
      <c r="F857" s="14" t="n">
        <v>0</v>
      </c>
      <c r="G857" s="14">
        <f>F857-E857</f>
        <v/>
      </c>
      <c r="H857" s="7" t="n">
        <v>79</v>
      </c>
      <c r="I857" s="7">
        <f>G857*H857</f>
        <v/>
      </c>
      <c r="J857" s="16" t="inlineStr">
        <is>
          <t>لم يُجرد</t>
        </is>
      </c>
      <c r="K857" s="14" t="n">
        <v>0</v>
      </c>
      <c r="L857" s="14" t="n">
        <v>3</v>
      </c>
      <c r="M857" s="5" t="inlineStr"/>
      <c r="N857" s="5" t="inlineStr"/>
    </row>
    <row r="858">
      <c r="A858" s="13" t="inlineStr">
        <is>
          <t>0005137</t>
        </is>
      </c>
      <c r="B858" s="5" t="inlineStr">
        <is>
          <t>[0005137] QUEEN JELLY ROYAL  1000MG 30CAP ECKHART</t>
        </is>
      </c>
      <c r="C858" s="5" t="inlineStr">
        <is>
          <t>دواء</t>
        </is>
      </c>
      <c r="D858" s="13" t="inlineStr">
        <is>
          <t>714654886025</t>
        </is>
      </c>
      <c r="E858" s="14">
        <f>L858-K858</f>
        <v/>
      </c>
      <c r="F858" s="14" t="n">
        <v>0</v>
      </c>
      <c r="G858" s="14">
        <f>F858-E858</f>
        <v/>
      </c>
      <c r="H858" s="7" t="n">
        <v>198</v>
      </c>
      <c r="I858" s="7">
        <f>G858*H858</f>
        <v/>
      </c>
      <c r="J858" s="16" t="inlineStr">
        <is>
          <t>لم يُجرد</t>
        </is>
      </c>
      <c r="K858" s="14" t="n">
        <v>0</v>
      </c>
      <c r="L858" s="14" t="n">
        <v>1</v>
      </c>
      <c r="M858" s="5" t="inlineStr"/>
      <c r="N858" s="5" t="inlineStr"/>
    </row>
    <row r="859">
      <c r="A859" s="13" t="inlineStr">
        <is>
          <t>0004328</t>
        </is>
      </c>
      <c r="B859" s="5" t="inlineStr">
        <is>
          <t>[0004328] CEFUTIL 500MG 10TAB</t>
        </is>
      </c>
      <c r="C859" s="5" t="inlineStr">
        <is>
          <t>دواء</t>
        </is>
      </c>
      <c r="D859" s="13" t="inlineStr">
        <is>
          <t>06251106401893</t>
        </is>
      </c>
      <c r="E859" s="14">
        <f>L859-K859</f>
        <v/>
      </c>
      <c r="F859" s="14" t="n">
        <v>0</v>
      </c>
      <c r="G859" s="14">
        <f>F859-E859</f>
        <v/>
      </c>
      <c r="H859" s="7" t="n">
        <v>36.05</v>
      </c>
      <c r="I859" s="7">
        <f>G859*H859</f>
        <v/>
      </c>
      <c r="J859" s="16" t="inlineStr">
        <is>
          <t>لم يُجرد</t>
        </is>
      </c>
      <c r="K859" s="14" t="n">
        <v>0</v>
      </c>
      <c r="L859" s="14" t="n">
        <v>3</v>
      </c>
      <c r="M859" s="5" t="inlineStr"/>
      <c r="N859" s="5" t="inlineStr"/>
    </row>
    <row r="860">
      <c r="A860" s="13" t="inlineStr">
        <is>
          <t>00030523</t>
        </is>
      </c>
      <c r="B860" s="5" t="inlineStr">
        <is>
          <t>[00030523] RELEXIB 200MG 20CAP</t>
        </is>
      </c>
      <c r="C860" s="5" t="inlineStr">
        <is>
          <t>دواء</t>
        </is>
      </c>
      <c r="D860" s="13" t="inlineStr"/>
      <c r="E860" s="14">
        <f>L860-K860</f>
        <v/>
      </c>
      <c r="F860" s="14" t="n">
        <v>0</v>
      </c>
      <c r="G860" s="14">
        <f>F860-E860</f>
        <v/>
      </c>
      <c r="H860" s="7" t="n">
        <v>25</v>
      </c>
      <c r="I860" s="7">
        <f>G860*H860</f>
        <v/>
      </c>
      <c r="J860" s="16" t="inlineStr">
        <is>
          <t>لم يُجرد</t>
        </is>
      </c>
      <c r="K860" s="14" t="n">
        <v>0</v>
      </c>
      <c r="L860" s="14" t="n">
        <v>6</v>
      </c>
      <c r="M860" s="5" t="inlineStr"/>
      <c r="N860" s="5" t="inlineStr"/>
    </row>
    <row r="861">
      <c r="A861" s="13" t="inlineStr">
        <is>
          <t>00048510</t>
        </is>
      </c>
      <c r="B861" s="5" t="inlineStr">
        <is>
          <t>[00048510] GENTA POWER 40 CAPS 2208</t>
        </is>
      </c>
      <c r="C861" s="5" t="inlineStr">
        <is>
          <t>دواء</t>
        </is>
      </c>
      <c r="D861" s="13" t="inlineStr">
        <is>
          <t>0753287202208</t>
        </is>
      </c>
      <c r="E861" s="14">
        <f>L861-K861</f>
        <v/>
      </c>
      <c r="F861" s="14" t="n">
        <v>0</v>
      </c>
      <c r="G861" s="14">
        <f>F861-E861</f>
        <v/>
      </c>
      <c r="H861" s="7" t="n">
        <v>150</v>
      </c>
      <c r="I861" s="7">
        <f>G861*H861</f>
        <v/>
      </c>
      <c r="J861" s="16" t="inlineStr">
        <is>
          <t>لم يُجرد</t>
        </is>
      </c>
      <c r="K861" s="14" t="n">
        <v>0</v>
      </c>
      <c r="L861" s="14" t="n">
        <v>2</v>
      </c>
      <c r="M861" s="5" t="inlineStr"/>
      <c r="N861" s="5" t="inlineStr"/>
    </row>
    <row r="862">
      <c r="A862" s="13" t="inlineStr">
        <is>
          <t>0003411</t>
        </is>
      </c>
      <c r="B862" s="5" t="inlineStr">
        <is>
          <t>[0003411] ICHTHAMMOL 10% BLACK OINTMENT 30 ML</t>
        </is>
      </c>
      <c r="C862" s="5" t="inlineStr">
        <is>
          <t>دواء</t>
        </is>
      </c>
      <c r="D862" s="13" t="inlineStr">
        <is>
          <t>06285119000057</t>
        </is>
      </c>
      <c r="E862" s="14">
        <f>L862-K862</f>
        <v/>
      </c>
      <c r="F862" s="14" t="n">
        <v>0</v>
      </c>
      <c r="G862" s="14">
        <f>F862-E862</f>
        <v/>
      </c>
      <c r="H862" s="7" t="n">
        <v>15.4</v>
      </c>
      <c r="I862" s="7">
        <f>G862*H862</f>
        <v/>
      </c>
      <c r="J862" s="16" t="inlineStr">
        <is>
          <t>لم يُجرد</t>
        </is>
      </c>
      <c r="K862" s="14" t="n">
        <v>0</v>
      </c>
      <c r="L862" s="14" t="n">
        <v>7</v>
      </c>
      <c r="M862" s="5" t="inlineStr"/>
      <c r="N862" s="5" t="inlineStr"/>
    </row>
    <row r="863">
      <c r="A863" s="13" t="inlineStr">
        <is>
          <t>00037937</t>
        </is>
      </c>
      <c r="B863" s="5" t="inlineStr">
        <is>
          <t>[00037937] ASPERMIA GEL 50ML</t>
        </is>
      </c>
      <c r="C863" s="5" t="inlineStr">
        <is>
          <t>دواء</t>
        </is>
      </c>
      <c r="D863" s="13" t="inlineStr">
        <is>
          <t>795044248944</t>
        </is>
      </c>
      <c r="E863" s="14">
        <f>L863-K863</f>
        <v/>
      </c>
      <c r="F863" s="14" t="n">
        <v>0</v>
      </c>
      <c r="G863" s="14">
        <f>F863-E863</f>
        <v/>
      </c>
      <c r="H863" s="7" t="n">
        <v>85</v>
      </c>
      <c r="I863" s="7">
        <f>G863*H863</f>
        <v/>
      </c>
      <c r="J863" s="16" t="inlineStr">
        <is>
          <t>لم يُجرد</t>
        </is>
      </c>
      <c r="K863" s="14" t="n">
        <v>0</v>
      </c>
      <c r="L863" s="14" t="n">
        <v>2</v>
      </c>
      <c r="M863" s="5" t="inlineStr"/>
      <c r="N863" s="5" t="inlineStr"/>
    </row>
    <row r="864">
      <c r="A864" s="13" t="inlineStr">
        <is>
          <t>00018933</t>
        </is>
      </c>
      <c r="B864" s="5" t="inlineStr">
        <is>
          <t>[00018933] OTOSAN EAR SPRAY 50 ML</t>
        </is>
      </c>
      <c r="C864" s="5" t="inlineStr">
        <is>
          <t>دواء</t>
        </is>
      </c>
      <c r="D864" s="13" t="inlineStr"/>
      <c r="E864" s="14">
        <f>L864-K864</f>
        <v/>
      </c>
      <c r="F864" s="14" t="n">
        <v>0</v>
      </c>
      <c r="G864" s="14">
        <f>F864-E864</f>
        <v/>
      </c>
      <c r="H864" s="7" t="n">
        <v>44.5</v>
      </c>
      <c r="I864" s="7">
        <f>G864*H864</f>
        <v/>
      </c>
      <c r="J864" s="16" t="inlineStr">
        <is>
          <t>لم يُجرد</t>
        </is>
      </c>
      <c r="K864" s="14" t="n">
        <v>0</v>
      </c>
      <c r="L864" s="14" t="n">
        <v>4</v>
      </c>
      <c r="M864" s="5" t="inlineStr"/>
      <c r="N864" s="5" t="inlineStr"/>
    </row>
    <row r="865">
      <c r="A865" s="13" t="inlineStr">
        <is>
          <t>0003162</t>
        </is>
      </c>
      <c r="B865" s="5" t="inlineStr">
        <is>
          <t>[0003162] LOTENSE 5MG 30CAPS</t>
        </is>
      </c>
      <c r="C865" s="5" t="inlineStr">
        <is>
          <t>دواء</t>
        </is>
      </c>
      <c r="D865" s="13" t="inlineStr">
        <is>
          <t>01062851470022381720</t>
        </is>
      </c>
      <c r="E865" s="14">
        <f>L865-K865</f>
        <v/>
      </c>
      <c r="F865" s="14" t="n">
        <v>0</v>
      </c>
      <c r="G865" s="14">
        <f>F865-E865</f>
        <v/>
      </c>
      <c r="H865" s="7" t="n">
        <v>53.35</v>
      </c>
      <c r="I865" s="7">
        <f>G865*H865</f>
        <v/>
      </c>
      <c r="J865" s="16" t="inlineStr">
        <is>
          <t>لم يُجرد</t>
        </is>
      </c>
      <c r="K865" s="14" t="n">
        <v>0</v>
      </c>
      <c r="L865" s="14" t="n">
        <v>2</v>
      </c>
      <c r="M865" s="5" t="inlineStr"/>
      <c r="N865" s="5" t="inlineStr"/>
    </row>
    <row r="866">
      <c r="A866" s="13" t="inlineStr">
        <is>
          <t>0004829</t>
        </is>
      </c>
      <c r="B866" s="5" t="inlineStr">
        <is>
          <t>[0004829] SORTIVA FORTE 100MG 30TAB</t>
        </is>
      </c>
      <c r="C866" s="5" t="inlineStr">
        <is>
          <t>دواء</t>
        </is>
      </c>
      <c r="D866" s="13" t="inlineStr">
        <is>
          <t>06281086012154</t>
        </is>
      </c>
      <c r="E866" s="14">
        <f>L866-K866</f>
        <v/>
      </c>
      <c r="F866" s="14" t="n">
        <v>0</v>
      </c>
      <c r="G866" s="14">
        <f>F866-E866</f>
        <v/>
      </c>
      <c r="H866" s="7" t="n">
        <v>52.8</v>
      </c>
      <c r="I866" s="7">
        <f>G866*H866</f>
        <v/>
      </c>
      <c r="J866" s="16" t="inlineStr">
        <is>
          <t>لم يُجرد</t>
        </is>
      </c>
      <c r="K866" s="14" t="n">
        <v>0</v>
      </c>
      <c r="L866" s="14" t="n">
        <v>2</v>
      </c>
      <c r="M866" s="5" t="inlineStr"/>
      <c r="N866" s="5" t="inlineStr"/>
    </row>
    <row r="867">
      <c r="A867" s="13" t="inlineStr">
        <is>
          <t>00024609</t>
        </is>
      </c>
      <c r="B867" s="5" t="inlineStr">
        <is>
          <t>[00024609] RUWA TONEXY 50 SOFT CAP</t>
        </is>
      </c>
      <c r="C867" s="5" t="inlineStr">
        <is>
          <t>دواء</t>
        </is>
      </c>
      <c r="D867" s="13" t="inlineStr">
        <is>
          <t>655368736841</t>
        </is>
      </c>
      <c r="E867" s="14">
        <f>L867-K867</f>
        <v/>
      </c>
      <c r="F867" s="14" t="n">
        <v>0</v>
      </c>
      <c r="G867" s="14">
        <f>F867-E867</f>
        <v/>
      </c>
      <c r="H867" s="7" t="n">
        <v>79.75</v>
      </c>
      <c r="I867" s="7">
        <f>G867*H867</f>
        <v/>
      </c>
      <c r="J867" s="16" t="inlineStr">
        <is>
          <t>لم يُجرد</t>
        </is>
      </c>
      <c r="K867" s="14" t="n">
        <v>0</v>
      </c>
      <c r="L867" s="14" t="n">
        <v>2</v>
      </c>
      <c r="M867" s="5" t="inlineStr"/>
      <c r="N867" s="5" t="inlineStr"/>
    </row>
    <row r="868">
      <c r="A868" s="13" t="inlineStr">
        <is>
          <t>0003416</t>
        </is>
      </c>
      <c r="B868" s="5" t="inlineStr">
        <is>
          <t>[0003416] IMIGRAN 50MG 6TAB</t>
        </is>
      </c>
      <c r="C868" s="5" t="inlineStr">
        <is>
          <t>دواء</t>
        </is>
      </c>
      <c r="D868" s="13" t="inlineStr">
        <is>
          <t>06285097000940</t>
        </is>
      </c>
      <c r="E868" s="14">
        <f>L868-K868</f>
        <v/>
      </c>
      <c r="F868" s="14" t="n">
        <v>0</v>
      </c>
      <c r="G868" s="14">
        <f>F868-E868</f>
        <v/>
      </c>
      <c r="H868" s="7" t="n">
        <v>100.85</v>
      </c>
      <c r="I868" s="7">
        <f>G868*H868</f>
        <v/>
      </c>
      <c r="J868" s="16" t="inlineStr">
        <is>
          <t>لم يُجرد</t>
        </is>
      </c>
      <c r="K868" s="14" t="n">
        <v>0</v>
      </c>
      <c r="L868" s="14" t="n">
        <v>1</v>
      </c>
      <c r="M868" s="5" t="inlineStr"/>
      <c r="N868" s="5" t="inlineStr"/>
    </row>
    <row r="869">
      <c r="A869" s="13" t="inlineStr">
        <is>
          <t>0005330</t>
        </is>
      </c>
      <c r="B869" s="5" t="inlineStr">
        <is>
          <t>[0005330] PARAXON 250MG/300MG 30 CAPS</t>
        </is>
      </c>
      <c r="C869" s="5" t="inlineStr">
        <is>
          <t>دواء</t>
        </is>
      </c>
      <c r="D869" s="13" t="inlineStr"/>
      <c r="E869" s="14">
        <f>L869-K869</f>
        <v/>
      </c>
      <c r="F869" s="14" t="n">
        <v>0</v>
      </c>
      <c r="G869" s="14">
        <f>F869-E869</f>
        <v/>
      </c>
      <c r="H869" s="7" t="n">
        <v>26.3</v>
      </c>
      <c r="I869" s="7">
        <f>G869*H869</f>
        <v/>
      </c>
      <c r="J869" s="16" t="inlineStr">
        <is>
          <t>لم يُجرد</t>
        </is>
      </c>
      <c r="K869" s="14" t="n">
        <v>0</v>
      </c>
      <c r="L869" s="14" t="n">
        <v>4</v>
      </c>
      <c r="M869" s="5" t="inlineStr"/>
      <c r="N869" s="5" t="inlineStr"/>
    </row>
    <row r="870">
      <c r="A870" s="13" t="inlineStr">
        <is>
          <t>00040448</t>
        </is>
      </c>
      <c r="B870" s="5" t="inlineStr">
        <is>
          <t>[00040448] ONDANS FC TAB 4MG 10P</t>
        </is>
      </c>
      <c r="C870" s="5" t="inlineStr">
        <is>
          <t>دواء</t>
        </is>
      </c>
      <c r="D870" s="13" t="inlineStr"/>
      <c r="E870" s="14">
        <f>L870-K870</f>
        <v/>
      </c>
      <c r="F870" s="14" t="n">
        <v>0</v>
      </c>
      <c r="G870" s="14">
        <f>F870-E870</f>
        <v/>
      </c>
      <c r="H870" s="7" t="n">
        <v>110.1</v>
      </c>
      <c r="I870" s="7">
        <f>G870*H870</f>
        <v/>
      </c>
      <c r="J870" s="16" t="inlineStr">
        <is>
          <t>لم يُجرد</t>
        </is>
      </c>
      <c r="K870" s="14" t="n">
        <v>0</v>
      </c>
      <c r="L870" s="14" t="n">
        <v>1</v>
      </c>
      <c r="M870" s="5" t="inlineStr"/>
      <c r="N870" s="5" t="inlineStr"/>
    </row>
    <row r="871">
      <c r="A871" s="13" t="inlineStr">
        <is>
          <t>0005762</t>
        </is>
      </c>
      <c r="B871" s="5" t="inlineStr">
        <is>
          <t>[0005762] ASTATIN 20 MG 30 TABLETS</t>
        </is>
      </c>
      <c r="C871" s="5" t="inlineStr">
        <is>
          <t>دواء</t>
        </is>
      </c>
      <c r="D871" s="13" t="inlineStr">
        <is>
          <t>010628512800015410ul</t>
        </is>
      </c>
      <c r="E871" s="14">
        <f>L871-K871</f>
        <v/>
      </c>
      <c r="F871" s="14" t="n">
        <v>0</v>
      </c>
      <c r="G871" s="14">
        <f>F871-E871</f>
        <v/>
      </c>
      <c r="H871" s="7" t="n">
        <v>43.45</v>
      </c>
      <c r="I871" s="7">
        <f>G871*H871</f>
        <v/>
      </c>
      <c r="J871" s="16" t="inlineStr">
        <is>
          <t>لم يُجرد</t>
        </is>
      </c>
      <c r="K871" s="14" t="n">
        <v>0</v>
      </c>
      <c r="L871" s="14" t="n">
        <v>3</v>
      </c>
      <c r="M871" s="5" t="inlineStr"/>
      <c r="N871" s="5" t="inlineStr"/>
    </row>
    <row r="872">
      <c r="A872" s="13" t="inlineStr">
        <is>
          <t>0004311</t>
        </is>
      </c>
      <c r="B872" s="5" t="inlineStr">
        <is>
          <t>[0004311] CECLOR MR 750MG 10TAB</t>
        </is>
      </c>
      <c r="C872" s="5" t="inlineStr">
        <is>
          <t>دواء</t>
        </is>
      </c>
      <c r="D872" s="13" t="inlineStr">
        <is>
          <t>06281086001493</t>
        </is>
      </c>
      <c r="E872" s="14">
        <f>L872-K872</f>
        <v/>
      </c>
      <c r="F872" s="14" t="n">
        <v>0</v>
      </c>
      <c r="G872" s="14">
        <f>F872-E872</f>
        <v/>
      </c>
      <c r="H872" s="7" t="n">
        <v>52.3</v>
      </c>
      <c r="I872" s="7">
        <f>G872*H872</f>
        <v/>
      </c>
      <c r="J872" s="16" t="inlineStr">
        <is>
          <t>لم يُجرد</t>
        </is>
      </c>
      <c r="K872" s="14" t="n">
        <v>0</v>
      </c>
      <c r="L872" s="14" t="n">
        <v>2</v>
      </c>
      <c r="M872" s="5" t="inlineStr"/>
      <c r="N872" s="5" t="inlineStr"/>
    </row>
    <row r="873">
      <c r="A873" s="13" t="inlineStr">
        <is>
          <t>0004165</t>
        </is>
      </c>
      <c r="B873" s="5" t="inlineStr">
        <is>
          <t>[0004165] AIRFAST 10MG 30TAB</t>
        </is>
      </c>
      <c r="C873" s="5" t="inlineStr">
        <is>
          <t>دواء</t>
        </is>
      </c>
      <c r="D873" s="13" t="inlineStr"/>
      <c r="E873" s="14">
        <f>L873-K873</f>
        <v/>
      </c>
      <c r="F873" s="14" t="n">
        <v>0</v>
      </c>
      <c r="G873" s="14">
        <f>F873-E873</f>
        <v/>
      </c>
      <c r="H873" s="7" t="n">
        <v>100.1</v>
      </c>
      <c r="I873" s="7">
        <f>G873*H873</f>
        <v/>
      </c>
      <c r="J873" s="16" t="inlineStr">
        <is>
          <t>لم يُجرد</t>
        </is>
      </c>
      <c r="K873" s="14" t="n">
        <v>0</v>
      </c>
      <c r="L873" s="14" t="n">
        <v>1</v>
      </c>
      <c r="M873" s="5" t="inlineStr"/>
      <c r="N873" s="5" t="inlineStr"/>
    </row>
    <row r="874">
      <c r="A874" s="13" t="inlineStr">
        <is>
          <t>00045129</t>
        </is>
      </c>
      <c r="B874" s="5" t="inlineStr">
        <is>
          <t>[00045129] BETWELV-VIT B12 1000MCG 30TAB 0501</t>
        </is>
      </c>
      <c r="C874" s="5" t="inlineStr">
        <is>
          <t>دواء</t>
        </is>
      </c>
      <c r="D874" s="13" t="inlineStr">
        <is>
          <t>6285177000501</t>
        </is>
      </c>
      <c r="E874" s="14">
        <f>L874-K874</f>
        <v/>
      </c>
      <c r="F874" s="14" t="n">
        <v>0</v>
      </c>
      <c r="G874" s="14">
        <f>F874-E874</f>
        <v/>
      </c>
      <c r="H874" s="7" t="n">
        <v>43.5</v>
      </c>
      <c r="I874" s="7">
        <f>G874*H874</f>
        <v/>
      </c>
      <c r="J874" s="16" t="inlineStr">
        <is>
          <t>لم يُجرد</t>
        </is>
      </c>
      <c r="K874" s="14" t="n">
        <v>0</v>
      </c>
      <c r="L874" s="14" t="n">
        <v>4</v>
      </c>
      <c r="M874" s="5" t="inlineStr"/>
      <c r="N874" s="5" t="inlineStr"/>
    </row>
    <row r="875">
      <c r="A875" s="13" t="inlineStr">
        <is>
          <t>0004107</t>
        </is>
      </c>
      <c r="B875" s="5" t="inlineStr">
        <is>
          <t>[0004107] ADOL 250MG SUPP</t>
        </is>
      </c>
      <c r="C875" s="5" t="inlineStr">
        <is>
          <t>دواء</t>
        </is>
      </c>
      <c r="D875" s="13" t="inlineStr">
        <is>
          <t>06291100080045</t>
        </is>
      </c>
      <c r="E875" s="14">
        <f>L875-K875</f>
        <v/>
      </c>
      <c r="F875" s="14" t="n">
        <v>0</v>
      </c>
      <c r="G875" s="14">
        <f>F875-E875</f>
        <v/>
      </c>
      <c r="H875" s="7" t="n">
        <v>6.1</v>
      </c>
      <c r="I875" s="7">
        <f>G875*H875</f>
        <v/>
      </c>
      <c r="J875" s="16" t="inlineStr">
        <is>
          <t>لم يُجرد</t>
        </is>
      </c>
      <c r="K875" s="14" t="n">
        <v>0</v>
      </c>
      <c r="L875" s="14" t="n">
        <v>17</v>
      </c>
      <c r="M875" s="5" t="inlineStr"/>
      <c r="N875" s="5" t="inlineStr"/>
    </row>
    <row r="876">
      <c r="A876" s="13" t="inlineStr">
        <is>
          <t>00012910</t>
        </is>
      </c>
      <c r="B876" s="5" t="inlineStr">
        <is>
          <t>[00012910] SEVIKAR 40/10 MG TAB TMR</t>
        </is>
      </c>
      <c r="C876" s="5" t="inlineStr">
        <is>
          <t>دواء</t>
        </is>
      </c>
      <c r="D876" s="13" t="inlineStr">
        <is>
          <t>01062850940003491719</t>
        </is>
      </c>
      <c r="E876" s="14">
        <f>L876-K876</f>
        <v/>
      </c>
      <c r="F876" s="14" t="n">
        <v>0</v>
      </c>
      <c r="G876" s="14">
        <f>F876-E876</f>
        <v/>
      </c>
      <c r="H876" s="7" t="n">
        <v>99.05</v>
      </c>
      <c r="I876" s="7">
        <f>G876*H876</f>
        <v/>
      </c>
      <c r="J876" s="16" t="inlineStr">
        <is>
          <t>لم يُجرد</t>
        </is>
      </c>
      <c r="K876" s="14" t="n">
        <v>0</v>
      </c>
      <c r="L876" s="14" t="n">
        <v>1</v>
      </c>
      <c r="M876" s="5" t="inlineStr"/>
      <c r="N876" s="5" t="inlineStr"/>
    </row>
    <row r="877">
      <c r="A877" s="13" t="inlineStr">
        <is>
          <t>00025939</t>
        </is>
      </c>
      <c r="B877" s="5" t="inlineStr">
        <is>
          <t>[00025939] TURMERIC  MOTHERNEST CANDY</t>
        </is>
      </c>
      <c r="C877" s="5" t="inlineStr">
        <is>
          <t>دواء</t>
        </is>
      </c>
      <c r="D877" s="13" t="inlineStr">
        <is>
          <t>9327155007786</t>
        </is>
      </c>
      <c r="E877" s="14">
        <f>L877-K877</f>
        <v/>
      </c>
      <c r="F877" s="14" t="n">
        <v>0</v>
      </c>
      <c r="G877" s="14">
        <f>F877-E877</f>
        <v/>
      </c>
      <c r="H877" s="7" t="n">
        <v>86</v>
      </c>
      <c r="I877" s="7">
        <f>G877*H877</f>
        <v/>
      </c>
      <c r="J877" s="16" t="inlineStr">
        <is>
          <t>لم يُجرد</t>
        </is>
      </c>
      <c r="K877" s="14" t="n">
        <v>0</v>
      </c>
      <c r="L877" s="14" t="n">
        <v>2</v>
      </c>
      <c r="M877" s="5" t="inlineStr"/>
      <c r="N877" s="5" t="inlineStr"/>
    </row>
    <row r="878">
      <c r="A878" s="13" t="inlineStr">
        <is>
          <t>00026976</t>
        </is>
      </c>
      <c r="B878" s="5" t="inlineStr">
        <is>
          <t>[00026976] FERROLIGHT 60 CHEWAB. 7726TAB</t>
        </is>
      </c>
      <c r="C878" s="5" t="inlineStr">
        <is>
          <t>دواء</t>
        </is>
      </c>
      <c r="D878" s="13" t="inlineStr">
        <is>
          <t>748515537726</t>
        </is>
      </c>
      <c r="E878" s="14">
        <f>L878-K878</f>
        <v/>
      </c>
      <c r="F878" s="14" t="n">
        <v>0</v>
      </c>
      <c r="G878" s="14">
        <f>F878-E878</f>
        <v/>
      </c>
      <c r="H878" s="7" t="n">
        <v>100</v>
      </c>
      <c r="I878" s="7">
        <f>G878*H878</f>
        <v/>
      </c>
      <c r="J878" s="16" t="inlineStr">
        <is>
          <t>لم يُجرد</t>
        </is>
      </c>
      <c r="K878" s="14" t="n">
        <v>0</v>
      </c>
      <c r="L878" s="14" t="n">
        <v>2</v>
      </c>
      <c r="M878" s="5" t="inlineStr"/>
      <c r="N878" s="5" t="inlineStr"/>
    </row>
    <row r="879">
      <c r="A879" s="13" t="inlineStr">
        <is>
          <t>00040263</t>
        </is>
      </c>
      <c r="B879" s="5" t="inlineStr">
        <is>
          <t>[00040263] BONDEX 60 CHEWAB 1165TAB</t>
        </is>
      </c>
      <c r="C879" s="5" t="inlineStr">
        <is>
          <t>دواء</t>
        </is>
      </c>
      <c r="D879" s="13" t="inlineStr">
        <is>
          <t>6285343001165</t>
        </is>
      </c>
      <c r="E879" s="14">
        <f>L879-K879</f>
        <v/>
      </c>
      <c r="F879" s="14" t="n">
        <v>0</v>
      </c>
      <c r="G879" s="14">
        <f>F879-E879</f>
        <v/>
      </c>
      <c r="H879" s="7" t="n">
        <v>100</v>
      </c>
      <c r="I879" s="7">
        <f>G879*H879</f>
        <v/>
      </c>
      <c r="J879" s="16" t="inlineStr">
        <is>
          <t>لم يُجرد</t>
        </is>
      </c>
      <c r="K879" s="14" t="n">
        <v>0</v>
      </c>
      <c r="L879" s="14" t="n">
        <v>2</v>
      </c>
      <c r="M879" s="5" t="inlineStr"/>
      <c r="N879" s="5" t="inlineStr"/>
    </row>
    <row r="880">
      <c r="A880" s="13" t="inlineStr">
        <is>
          <t>0004830</t>
        </is>
      </c>
      <c r="B880" s="5" t="inlineStr">
        <is>
          <t>[0004830] SORTIVA H 100/12.5 MG 30TAB</t>
        </is>
      </c>
      <c r="C880" s="5" t="inlineStr">
        <is>
          <t>دواء</t>
        </is>
      </c>
      <c r="D880" s="13" t="inlineStr">
        <is>
          <t>01062810860032511010</t>
        </is>
      </c>
      <c r="E880" s="14">
        <f>L880-K880</f>
        <v/>
      </c>
      <c r="F880" s="14" t="n">
        <v>0</v>
      </c>
      <c r="G880" s="14">
        <f>F880-E880</f>
        <v/>
      </c>
      <c r="H880" s="7" t="n">
        <v>48.2</v>
      </c>
      <c r="I880" s="7">
        <f>G880*H880</f>
        <v/>
      </c>
      <c r="J880" s="16" t="inlineStr">
        <is>
          <t>لم يُجرد</t>
        </is>
      </c>
      <c r="K880" s="14" t="n">
        <v>0</v>
      </c>
      <c r="L880" s="14" t="n">
        <v>2</v>
      </c>
      <c r="M880" s="5" t="inlineStr"/>
      <c r="N880" s="5" t="inlineStr"/>
    </row>
    <row r="881">
      <c r="A881" s="13" t="inlineStr">
        <is>
          <t>00012893</t>
        </is>
      </c>
      <c r="B881" s="5" t="inlineStr">
        <is>
          <t>[00012893] MUSCLEZE GEL 75 ML</t>
        </is>
      </c>
      <c r="C881" s="5" t="inlineStr">
        <is>
          <t>دواء</t>
        </is>
      </c>
      <c r="D881" s="13" t="inlineStr"/>
      <c r="E881" s="14">
        <f>L881-K881</f>
        <v/>
      </c>
      <c r="F881" s="14" t="n">
        <v>0</v>
      </c>
      <c r="G881" s="14">
        <f>F881-E881</f>
        <v/>
      </c>
      <c r="H881" s="7" t="n">
        <v>68.75</v>
      </c>
      <c r="I881" s="7">
        <f>G881*H881</f>
        <v/>
      </c>
      <c r="J881" s="16" t="inlineStr">
        <is>
          <t>لم يُجرد</t>
        </is>
      </c>
      <c r="K881" s="14" t="n">
        <v>0</v>
      </c>
      <c r="L881" s="14" t="n">
        <v>3</v>
      </c>
      <c r="M881" s="5" t="inlineStr"/>
      <c r="N881" s="5" t="inlineStr"/>
    </row>
    <row r="882">
      <c r="A882" s="13" t="inlineStr">
        <is>
          <t>00016764</t>
        </is>
      </c>
      <c r="B882" s="5" t="inlineStr">
        <is>
          <t>[00016764] ARTIZ 10MG 30 TAB</t>
        </is>
      </c>
      <c r="C882" s="5" t="inlineStr">
        <is>
          <t>دواء</t>
        </is>
      </c>
      <c r="D882" s="13" t="inlineStr">
        <is>
          <t>06285147000234</t>
        </is>
      </c>
      <c r="E882" s="14">
        <f>L882-K882</f>
        <v/>
      </c>
      <c r="F882" s="14" t="n">
        <v>0</v>
      </c>
      <c r="G882" s="14">
        <f>F882-E882</f>
        <v/>
      </c>
      <c r="H882" s="7" t="n">
        <v>29.25</v>
      </c>
      <c r="I882" s="7">
        <f>G882*H882</f>
        <v/>
      </c>
      <c r="J882" s="16" t="inlineStr">
        <is>
          <t>لم يُجرد</t>
        </is>
      </c>
      <c r="K882" s="14" t="n">
        <v>0</v>
      </c>
      <c r="L882" s="14" t="n">
        <v>5</v>
      </c>
      <c r="M882" s="5" t="inlineStr"/>
      <c r="N882" s="5" t="inlineStr"/>
    </row>
    <row r="883">
      <c r="A883" s="13" t="inlineStr">
        <is>
          <t>00018002</t>
        </is>
      </c>
      <c r="B883" s="5" t="inlineStr">
        <is>
          <t>[00018002] GLADIO 100MG 20TAB</t>
        </is>
      </c>
      <c r="C883" s="5" t="inlineStr">
        <is>
          <t>دواء</t>
        </is>
      </c>
      <c r="D883" s="13" t="inlineStr">
        <is>
          <t>06291100785230</t>
        </is>
      </c>
      <c r="E883" s="14">
        <f>L883-K883</f>
        <v/>
      </c>
      <c r="F883" s="14" t="n">
        <v>0</v>
      </c>
      <c r="G883" s="14">
        <f>F883-E883</f>
        <v/>
      </c>
      <c r="H883" s="7" t="n">
        <v>17.3</v>
      </c>
      <c r="I883" s="7">
        <f>G883*H883</f>
        <v/>
      </c>
      <c r="J883" s="16" t="inlineStr">
        <is>
          <t>لم يُجرد</t>
        </is>
      </c>
      <c r="K883" s="14" t="n">
        <v>0</v>
      </c>
      <c r="L883" s="14" t="n">
        <v>6</v>
      </c>
      <c r="M883" s="5" t="inlineStr"/>
      <c r="N883" s="5" t="inlineStr"/>
    </row>
    <row r="884">
      <c r="A884" s="13" t="inlineStr">
        <is>
          <t>00045994</t>
        </is>
      </c>
      <c r="B884" s="5" t="inlineStr">
        <is>
          <t>[00045994] ACILOC 20MG 28 CAPS</t>
        </is>
      </c>
      <c r="C884" s="5" t="inlineStr">
        <is>
          <t>دواء</t>
        </is>
      </c>
      <c r="D884" s="13" t="inlineStr">
        <is>
          <t>06285128002738</t>
        </is>
      </c>
      <c r="E884" s="14">
        <f>L884-K884</f>
        <v/>
      </c>
      <c r="F884" s="14" t="n">
        <v>0</v>
      </c>
      <c r="G884" s="14">
        <f>F884-E884</f>
        <v/>
      </c>
      <c r="H884" s="7" t="n">
        <v>88.90000000000001</v>
      </c>
      <c r="I884" s="7">
        <f>G884*H884</f>
        <v/>
      </c>
      <c r="J884" s="16" t="inlineStr">
        <is>
          <t>لم يُجرد</t>
        </is>
      </c>
      <c r="K884" s="14" t="n">
        <v>0</v>
      </c>
      <c r="L884" s="14" t="n">
        <v>2</v>
      </c>
      <c r="M884" s="5" t="inlineStr"/>
      <c r="N884" s="5" t="inlineStr"/>
    </row>
    <row r="885">
      <c r="A885" s="13" t="inlineStr">
        <is>
          <t>00022924</t>
        </is>
      </c>
      <c r="B885" s="5" t="inlineStr">
        <is>
          <t>[00022924] كاندريل شوكلاتة بالحليب بدون سكر  داكنة سادة30جرام 860</t>
        </is>
      </c>
      <c r="C885" s="5" t="inlineStr">
        <is>
          <t>دواء</t>
        </is>
      </c>
      <c r="D885" s="13" t="inlineStr">
        <is>
          <t>7640110700860</t>
        </is>
      </c>
      <c r="E885" s="14">
        <f>L885-K885</f>
        <v/>
      </c>
      <c r="F885" s="14" t="n">
        <v>0</v>
      </c>
      <c r="G885" s="14">
        <f>F885-E885</f>
        <v/>
      </c>
      <c r="H885" s="7" t="n">
        <v>6</v>
      </c>
      <c r="I885" s="7">
        <f>G885*H885</f>
        <v/>
      </c>
      <c r="J885" s="16" t="inlineStr">
        <is>
          <t>لم يُجرد</t>
        </is>
      </c>
      <c r="K885" s="14" t="n">
        <v>0</v>
      </c>
      <c r="L885" s="14" t="n">
        <v>17</v>
      </c>
      <c r="M885" s="5" t="inlineStr"/>
      <c r="N885" s="5" t="inlineStr"/>
    </row>
    <row r="886">
      <c r="A886" s="13" t="inlineStr">
        <is>
          <t>00036935</t>
        </is>
      </c>
      <c r="B886" s="5" t="inlineStr">
        <is>
          <t>[00036935] LACTEEZ PLUS 30ML 3419 DROPS JR.PH</t>
        </is>
      </c>
      <c r="C886" s="5" t="inlineStr">
        <is>
          <t>دواء</t>
        </is>
      </c>
      <c r="D886" s="13" t="inlineStr">
        <is>
          <t>795697003419</t>
        </is>
      </c>
      <c r="E886" s="14">
        <f>L886-K886</f>
        <v/>
      </c>
      <c r="F886" s="14" t="n">
        <v>0</v>
      </c>
      <c r="G886" s="14">
        <f>F886-E886</f>
        <v/>
      </c>
      <c r="H886" s="7" t="n">
        <v>85</v>
      </c>
      <c r="I886" s="7">
        <f>G886*H886</f>
        <v/>
      </c>
      <c r="J886" s="16" t="inlineStr">
        <is>
          <t>لم يُجرد</t>
        </is>
      </c>
      <c r="K886" s="14" t="n">
        <v>0</v>
      </c>
      <c r="L886" s="14" t="n">
        <v>1</v>
      </c>
      <c r="M886" s="5" t="inlineStr"/>
      <c r="N886" s="5" t="inlineStr"/>
    </row>
    <row r="887">
      <c r="A887" s="13" t="inlineStr">
        <is>
          <t>00044236</t>
        </is>
      </c>
      <c r="B887" s="5" t="inlineStr">
        <is>
          <t>[00044236] VIGA X MALE XXL THE BIG SPRAY 30ML</t>
        </is>
      </c>
      <c r="C887" s="5" t="inlineStr">
        <is>
          <t>دواء</t>
        </is>
      </c>
      <c r="D887" s="13" t="inlineStr">
        <is>
          <t>754604401502</t>
        </is>
      </c>
      <c r="E887" s="14">
        <f>L887-K887</f>
        <v/>
      </c>
      <c r="F887" s="14" t="n">
        <v>0</v>
      </c>
      <c r="G887" s="14">
        <f>F887-E887</f>
        <v/>
      </c>
      <c r="H887" s="7" t="n">
        <v>105.88</v>
      </c>
      <c r="I887" s="7">
        <f>G887*H887</f>
        <v/>
      </c>
      <c r="J887" s="16" t="inlineStr">
        <is>
          <t>لم يُجرد</t>
        </is>
      </c>
      <c r="K887" s="14" t="n">
        <v>0</v>
      </c>
      <c r="L887" s="14" t="n">
        <v>1</v>
      </c>
      <c r="M887" s="5" t="inlineStr"/>
      <c r="N887" s="5" t="inlineStr"/>
    </row>
    <row r="888">
      <c r="A888" s="13" t="inlineStr">
        <is>
          <t>0004375</t>
        </is>
      </c>
      <c r="B888" s="5" t="inlineStr">
        <is>
          <t>[0004375] BRUFEN 400 MG 25 TAB</t>
        </is>
      </c>
      <c r="C888" s="5" t="inlineStr">
        <is>
          <t>دواء</t>
        </is>
      </c>
      <c r="D888" s="13" t="inlineStr"/>
      <c r="E888" s="14">
        <f>L888-K888</f>
        <v/>
      </c>
      <c r="F888" s="14" t="n">
        <v>0</v>
      </c>
      <c r="G888" s="14">
        <f>F888-E888</f>
        <v/>
      </c>
      <c r="H888" s="7" t="n">
        <v>13.6</v>
      </c>
      <c r="I888" s="7">
        <f>G888*H888</f>
        <v/>
      </c>
      <c r="J888" s="16" t="inlineStr">
        <is>
          <t>لم يُجرد</t>
        </is>
      </c>
      <c r="K888" s="14" t="n">
        <v>0</v>
      </c>
      <c r="L888" s="14" t="n">
        <v>10</v>
      </c>
      <c r="M888" s="5" t="inlineStr"/>
      <c r="N888" s="5" t="inlineStr"/>
    </row>
    <row r="889">
      <c r="A889" s="13" t="inlineStr">
        <is>
          <t>0004497</t>
        </is>
      </c>
      <c r="B889" s="5" t="inlineStr">
        <is>
          <t>[0004497] BEFOLVIT FOLIC ACID 5MG</t>
        </is>
      </c>
      <c r="C889" s="5" t="inlineStr">
        <is>
          <t>دواء</t>
        </is>
      </c>
      <c r="D889" s="13" t="inlineStr">
        <is>
          <t>06285085002222</t>
        </is>
      </c>
      <c r="E889" s="14">
        <f>L889-K889</f>
        <v/>
      </c>
      <c r="F889" s="14" t="n">
        <v>0</v>
      </c>
      <c r="G889" s="14">
        <f>F889-E889</f>
        <v/>
      </c>
      <c r="H889" s="7" t="n">
        <v>9.199999999999999</v>
      </c>
      <c r="I889" s="7">
        <f>G889*H889</f>
        <v/>
      </c>
      <c r="J889" s="16" t="inlineStr">
        <is>
          <t>لم يُجرد</t>
        </is>
      </c>
      <c r="K889" s="14" t="n">
        <v>0</v>
      </c>
      <c r="L889" s="14" t="n">
        <v>11</v>
      </c>
      <c r="M889" s="5" t="inlineStr"/>
      <c r="N889" s="5" t="inlineStr"/>
    </row>
    <row r="890">
      <c r="A890" s="13" t="inlineStr">
        <is>
          <t>0003798</t>
        </is>
      </c>
      <c r="B890" s="5" t="inlineStr">
        <is>
          <t>[0003798] FENISTIL ORAL DROPS 20ML</t>
        </is>
      </c>
      <c r="C890" s="5" t="inlineStr">
        <is>
          <t>دواء</t>
        </is>
      </c>
      <c r="D890" s="13" t="inlineStr"/>
      <c r="E890" s="14">
        <f>L890-K890</f>
        <v/>
      </c>
      <c r="F890" s="14" t="n">
        <v>0</v>
      </c>
      <c r="G890" s="14">
        <f>F890-E890</f>
        <v/>
      </c>
      <c r="H890" s="7" t="n">
        <v>14.45</v>
      </c>
      <c r="I890" s="7">
        <f>G890*H890</f>
        <v/>
      </c>
      <c r="J890" s="16" t="inlineStr">
        <is>
          <t>لم يُجرد</t>
        </is>
      </c>
      <c r="K890" s="14" t="n">
        <v>0</v>
      </c>
      <c r="L890" s="14" t="n">
        <v>7</v>
      </c>
      <c r="M890" s="5" t="inlineStr"/>
      <c r="N890" s="5" t="inlineStr"/>
    </row>
    <row r="891">
      <c r="A891" s="13" t="inlineStr">
        <is>
          <t>00021664</t>
        </is>
      </c>
      <c r="B891" s="5" t="inlineStr">
        <is>
          <t>[00021664] OMEGA LIGHT 30CAP MARNYS</t>
        </is>
      </c>
      <c r="C891" s="5" t="inlineStr">
        <is>
          <t>دواء</t>
        </is>
      </c>
      <c r="D891" s="13" t="inlineStr">
        <is>
          <t>0795044248135</t>
        </is>
      </c>
      <c r="E891" s="14">
        <f>L891-K891</f>
        <v/>
      </c>
      <c r="F891" s="14" t="n">
        <v>0</v>
      </c>
      <c r="G891" s="14">
        <f>F891-E891</f>
        <v/>
      </c>
      <c r="H891" s="7" t="n">
        <v>98</v>
      </c>
      <c r="I891" s="7">
        <f>G891*H891</f>
        <v/>
      </c>
      <c r="J891" s="16" t="inlineStr">
        <is>
          <t>لم يُجرد</t>
        </is>
      </c>
      <c r="K891" s="14" t="n">
        <v>0</v>
      </c>
      <c r="L891" s="14" t="n">
        <v>2</v>
      </c>
      <c r="M891" s="5" t="inlineStr"/>
      <c r="N891" s="5" t="inlineStr"/>
    </row>
    <row r="892">
      <c r="A892" s="13" t="inlineStr">
        <is>
          <t>00048707</t>
        </is>
      </c>
      <c r="B892" s="5" t="inlineStr">
        <is>
          <t>[00048707] VOMI CALM 30 TAB 2161 NQ</t>
        </is>
      </c>
      <c r="C892" s="5" t="inlineStr">
        <is>
          <t>دواء</t>
        </is>
      </c>
      <c r="D892" s="13" t="inlineStr">
        <is>
          <t>753287202161</t>
        </is>
      </c>
      <c r="E892" s="14">
        <f>L892-K892</f>
        <v/>
      </c>
      <c r="F892" s="14" t="n">
        <v>0</v>
      </c>
      <c r="G892" s="14">
        <f>F892-E892</f>
        <v/>
      </c>
      <c r="H892" s="7" t="n">
        <v>49</v>
      </c>
      <c r="I892" s="7">
        <f>G892*H892</f>
        <v/>
      </c>
      <c r="J892" s="16" t="inlineStr">
        <is>
          <t>لم يُجرد</t>
        </is>
      </c>
      <c r="K892" s="14" t="n">
        <v>0</v>
      </c>
      <c r="L892" s="14" t="n">
        <v>4</v>
      </c>
      <c r="M892" s="5" t="inlineStr"/>
      <c r="N892" s="5" t="inlineStr"/>
    </row>
    <row r="893">
      <c r="A893" s="13" t="inlineStr">
        <is>
          <t>0004487</t>
        </is>
      </c>
      <c r="B893" s="5" t="inlineStr">
        <is>
          <t>[0004487] ZIMAX 300MG SUSPENSION 22.5ML</t>
        </is>
      </c>
      <c r="C893" s="5" t="inlineStr">
        <is>
          <t>دواء</t>
        </is>
      </c>
      <c r="D893" s="13" t="inlineStr">
        <is>
          <t>01062810860017071010</t>
        </is>
      </c>
      <c r="E893" s="14">
        <f>L893-K893</f>
        <v/>
      </c>
      <c r="F893" s="14" t="n">
        <v>0</v>
      </c>
      <c r="G893" s="14">
        <f>F893-E893</f>
        <v/>
      </c>
      <c r="H893" s="7" t="n">
        <v>33.7</v>
      </c>
      <c r="I893" s="7">
        <f>G893*H893</f>
        <v/>
      </c>
      <c r="J893" s="16" t="inlineStr">
        <is>
          <t>لم يُجرد</t>
        </is>
      </c>
      <c r="K893" s="14" t="n">
        <v>0</v>
      </c>
      <c r="L893" s="14" t="n">
        <v>3</v>
      </c>
      <c r="M893" s="5" t="inlineStr"/>
      <c r="N893" s="5" t="inlineStr"/>
    </row>
    <row r="894">
      <c r="A894" s="13" t="inlineStr">
        <is>
          <t>00046895</t>
        </is>
      </c>
      <c r="B894" s="5" t="inlineStr">
        <is>
          <t>[00046895] BIOFAR PHYTO DIGESTION 6411</t>
        </is>
      </c>
      <c r="C894" s="5" t="inlineStr">
        <is>
          <t>دواء</t>
        </is>
      </c>
      <c r="D894" s="13" t="inlineStr">
        <is>
          <t>3760049896411</t>
        </is>
      </c>
      <c r="E894" s="14">
        <f>L894-K894</f>
        <v/>
      </c>
      <c r="F894" s="14" t="n">
        <v>0</v>
      </c>
      <c r="G894" s="14">
        <f>F894-E894</f>
        <v/>
      </c>
      <c r="H894" s="7" t="n">
        <v>35</v>
      </c>
      <c r="I894" s="7">
        <f>G894*H894</f>
        <v/>
      </c>
      <c r="J894" s="16" t="inlineStr">
        <is>
          <t>لم يُجرد</t>
        </is>
      </c>
      <c r="K894" s="14" t="n">
        <v>0</v>
      </c>
      <c r="L894" s="14" t="n">
        <v>3</v>
      </c>
      <c r="M894" s="5" t="inlineStr"/>
      <c r="N894" s="5" t="inlineStr"/>
    </row>
    <row r="895">
      <c r="A895" s="13" t="inlineStr">
        <is>
          <t>00046898</t>
        </is>
      </c>
      <c r="B895" s="5" t="inlineStr">
        <is>
          <t>[00046898] BIOFAR CHRONO C ZINC 8422</t>
        </is>
      </c>
      <c r="C895" s="5" t="inlineStr">
        <is>
          <t>دواء</t>
        </is>
      </c>
      <c r="D895" s="13" t="inlineStr">
        <is>
          <t>3760049898422</t>
        </is>
      </c>
      <c r="E895" s="14">
        <f>L895-K895</f>
        <v/>
      </c>
      <c r="F895" s="14" t="n">
        <v>0</v>
      </c>
      <c r="G895" s="14">
        <f>F895-E895</f>
        <v/>
      </c>
      <c r="H895" s="7" t="n">
        <v>35</v>
      </c>
      <c r="I895" s="7">
        <f>G895*H895</f>
        <v/>
      </c>
      <c r="J895" s="16" t="inlineStr">
        <is>
          <t>لم يُجرد</t>
        </is>
      </c>
      <c r="K895" s="14" t="n">
        <v>0</v>
      </c>
      <c r="L895" s="14" t="n">
        <v>3</v>
      </c>
      <c r="M895" s="5" t="inlineStr"/>
      <c r="N895" s="5" t="inlineStr"/>
    </row>
    <row r="896">
      <c r="A896" s="13" t="inlineStr">
        <is>
          <t>00012821</t>
        </is>
      </c>
      <c r="B896" s="5" t="inlineStr">
        <is>
          <t>[00012821] AVALON CLOVIRAX 10 GM CREAM</t>
        </is>
      </c>
      <c r="C896" s="5" t="inlineStr">
        <is>
          <t>دواء</t>
        </is>
      </c>
      <c r="D896" s="13" t="inlineStr">
        <is>
          <t>06285095006395</t>
        </is>
      </c>
      <c r="E896" s="14">
        <f>L896-K896</f>
        <v/>
      </c>
      <c r="F896" s="14" t="n">
        <v>0</v>
      </c>
      <c r="G896" s="14">
        <f>F896-E896</f>
        <v/>
      </c>
      <c r="H896" s="7" t="n">
        <v>25.35</v>
      </c>
      <c r="I896" s="7">
        <f>G896*H896</f>
        <v/>
      </c>
      <c r="J896" s="16" t="inlineStr">
        <is>
          <t>لم يُجرد</t>
        </is>
      </c>
      <c r="K896" s="14" t="n">
        <v>0</v>
      </c>
      <c r="L896" s="14" t="n">
        <v>4</v>
      </c>
      <c r="M896" s="5" t="inlineStr"/>
      <c r="N896" s="5" t="inlineStr"/>
    </row>
    <row r="897">
      <c r="A897" s="13" t="inlineStr">
        <is>
          <t>0003808</t>
        </is>
      </c>
      <c r="B897" s="5" t="inlineStr">
        <is>
          <t>[0003808] FEROSE SYRUP 100 ML</t>
        </is>
      </c>
      <c r="C897" s="5" t="inlineStr">
        <is>
          <t>دواء</t>
        </is>
      </c>
      <c r="D897" s="13" t="inlineStr">
        <is>
          <t>06281086010501</t>
        </is>
      </c>
      <c r="E897" s="14">
        <f>L897-K897</f>
        <v/>
      </c>
      <c r="F897" s="14" t="n">
        <v>0</v>
      </c>
      <c r="G897" s="14">
        <f>F897-E897</f>
        <v/>
      </c>
      <c r="H897" s="7" t="n">
        <v>14.35</v>
      </c>
      <c r="I897" s="7">
        <f>G897*H897</f>
        <v/>
      </c>
      <c r="J897" s="16" t="inlineStr">
        <is>
          <t>لم يُجرد</t>
        </is>
      </c>
      <c r="K897" s="14" t="n">
        <v>0</v>
      </c>
      <c r="L897" s="14" t="n">
        <v>7</v>
      </c>
      <c r="M897" s="5" t="inlineStr"/>
      <c r="N897" s="5" t="inlineStr"/>
    </row>
    <row r="898">
      <c r="A898" s="13" t="inlineStr">
        <is>
          <t>00025765</t>
        </is>
      </c>
      <c r="B898" s="5" t="inlineStr">
        <is>
          <t>[00025765] MOUNJARO 12.5</t>
        </is>
      </c>
      <c r="C898" s="5" t="inlineStr">
        <is>
          <t>دواء</t>
        </is>
      </c>
      <c r="D898" s="13" t="inlineStr"/>
      <c r="E898" s="14">
        <f>L898-K898</f>
        <v/>
      </c>
      <c r="F898" s="14" t="n">
        <v>0</v>
      </c>
      <c r="G898" s="14">
        <f>F898-E898</f>
        <v/>
      </c>
      <c r="H898" s="7" t="n">
        <v>1261.4</v>
      </c>
      <c r="I898" s="7">
        <f>G898*H898</f>
        <v/>
      </c>
      <c r="J898" s="16" t="inlineStr">
        <is>
          <t>لم يُجرد</t>
        </is>
      </c>
      <c r="K898" s="14" t="n">
        <v>0</v>
      </c>
      <c r="L898" s="14" t="n">
        <v>1</v>
      </c>
      <c r="M898" s="5" t="inlineStr"/>
      <c r="N898" s="5" t="inlineStr"/>
    </row>
    <row r="899">
      <c r="A899" s="13" t="inlineStr">
        <is>
          <t>00018944</t>
        </is>
      </c>
      <c r="B899" s="5" t="inlineStr">
        <is>
          <t>[00018944] APISAL SPARKLING N SPRAY</t>
        </is>
      </c>
      <c r="C899" s="5" t="inlineStr">
        <is>
          <t>دواء</t>
        </is>
      </c>
      <c r="D899" s="13" t="inlineStr"/>
      <c r="E899" s="14">
        <f>L899-K899</f>
        <v/>
      </c>
      <c r="F899" s="14" t="n">
        <v>0</v>
      </c>
      <c r="G899" s="14">
        <f>F899-E899</f>
        <v/>
      </c>
      <c r="H899" s="7" t="n">
        <v>49.9</v>
      </c>
      <c r="I899" s="7">
        <f>G899*H899</f>
        <v/>
      </c>
      <c r="J899" s="16" t="inlineStr">
        <is>
          <t>لم يُجرد</t>
        </is>
      </c>
      <c r="K899" s="14" t="n">
        <v>0</v>
      </c>
      <c r="L899" s="14" t="n">
        <v>2</v>
      </c>
      <c r="M899" s="5" t="inlineStr"/>
      <c r="N899" s="5" t="inlineStr"/>
    </row>
    <row r="900">
      <c r="A900" s="13" t="inlineStr">
        <is>
          <t>00022786</t>
        </is>
      </c>
      <c r="B900" s="5" t="inlineStr">
        <is>
          <t>[00022786] AVALON AVOBAN OINTMINT 30 GM</t>
        </is>
      </c>
      <c r="C900" s="5" t="inlineStr">
        <is>
          <t>دواء</t>
        </is>
      </c>
      <c r="D900" s="13" t="inlineStr">
        <is>
          <t>06285095010347</t>
        </is>
      </c>
      <c r="E900" s="14">
        <f>L900-K900</f>
        <v/>
      </c>
      <c r="F900" s="14" t="n">
        <v>0</v>
      </c>
      <c r="G900" s="14">
        <f>F900-E900</f>
        <v/>
      </c>
      <c r="H900" s="7" t="n">
        <v>38.8</v>
      </c>
      <c r="I900" s="7">
        <f>G900*H900</f>
        <v/>
      </c>
      <c r="J900" s="16" t="inlineStr">
        <is>
          <t>لم يُجرد</t>
        </is>
      </c>
      <c r="K900" s="14" t="n">
        <v>0</v>
      </c>
      <c r="L900" s="14" t="n">
        <v>3</v>
      </c>
      <c r="M900" s="5" t="inlineStr"/>
      <c r="N900" s="5" t="inlineStr"/>
    </row>
    <row r="901">
      <c r="A901" s="13" t="inlineStr">
        <is>
          <t>0004405</t>
        </is>
      </c>
      <c r="B901" s="5" t="inlineStr">
        <is>
          <t>[0004405] BIO FIBER 80 60TAB</t>
        </is>
      </c>
      <c r="C901" s="5" t="inlineStr">
        <is>
          <t>دواء</t>
        </is>
      </c>
      <c r="D901" s="13" t="inlineStr">
        <is>
          <t>5709976210202</t>
        </is>
      </c>
      <c r="E901" s="14">
        <f>L901-K901</f>
        <v/>
      </c>
      <c r="F901" s="14" t="n">
        <v>0</v>
      </c>
      <c r="G901" s="14">
        <f>F901-E901</f>
        <v/>
      </c>
      <c r="H901" s="7" t="n">
        <v>62</v>
      </c>
      <c r="I901" s="7">
        <f>G901*H901</f>
        <v/>
      </c>
      <c r="J901" s="16" t="inlineStr">
        <is>
          <t>لم يُجرد</t>
        </is>
      </c>
      <c r="K901" s="14" t="n">
        <v>0</v>
      </c>
      <c r="L901" s="14" t="n">
        <v>2</v>
      </c>
      <c r="M901" s="5" t="inlineStr"/>
      <c r="N901" s="5" t="inlineStr"/>
    </row>
    <row r="902">
      <c r="A902" s="13" t="inlineStr">
        <is>
          <t>0003911</t>
        </is>
      </c>
      <c r="B902" s="5" t="inlineStr">
        <is>
          <t>[0003911] DEFADOL SYRUP SF 145ML</t>
        </is>
      </c>
      <c r="C902" s="5" t="inlineStr">
        <is>
          <t>دواء</t>
        </is>
      </c>
      <c r="D902" s="13" t="inlineStr">
        <is>
          <t>01062811470001512100</t>
        </is>
      </c>
      <c r="E902" s="14">
        <f>L902-K902</f>
        <v/>
      </c>
      <c r="F902" s="14" t="n">
        <v>0</v>
      </c>
      <c r="G902" s="14">
        <f>F902-E902</f>
        <v/>
      </c>
      <c r="H902" s="7" t="n">
        <v>10.05</v>
      </c>
      <c r="I902" s="7">
        <f>G902*H902</f>
        <v/>
      </c>
      <c r="J902" s="16" t="inlineStr">
        <is>
          <t>لم يُجرد</t>
        </is>
      </c>
      <c r="K902" s="14" t="n">
        <v>0</v>
      </c>
      <c r="L902" s="14" t="n">
        <v>10</v>
      </c>
      <c r="M902" s="5" t="inlineStr"/>
      <c r="N902" s="5" t="inlineStr"/>
    </row>
    <row r="903">
      <c r="A903" s="13" t="inlineStr">
        <is>
          <t>0004151</t>
        </is>
      </c>
      <c r="B903" s="5" t="inlineStr">
        <is>
          <t>[0004151] AIRFAST PEDIATRICS 4MG GRAN WASFA</t>
        </is>
      </c>
      <c r="C903" s="5" t="inlineStr">
        <is>
          <t>دواء</t>
        </is>
      </c>
      <c r="D903" s="13" t="inlineStr">
        <is>
          <t>06285147000012</t>
        </is>
      </c>
      <c r="E903" s="14">
        <f>L903-K903</f>
        <v/>
      </c>
      <c r="F903" s="14" t="n">
        <v>0</v>
      </c>
      <c r="G903" s="14">
        <f>F903-E903</f>
        <v/>
      </c>
      <c r="H903" s="7" t="n">
        <v>95.15000000000001</v>
      </c>
      <c r="I903" s="7">
        <f>G903*H903</f>
        <v/>
      </c>
      <c r="J903" s="16" t="inlineStr">
        <is>
          <t>لم يُجرد</t>
        </is>
      </c>
      <c r="K903" s="14" t="n">
        <v>0</v>
      </c>
      <c r="L903" s="14" t="n">
        <v>1</v>
      </c>
      <c r="M903" s="5" t="inlineStr"/>
      <c r="N903" s="5" t="inlineStr"/>
    </row>
    <row r="904">
      <c r="A904" s="13" t="inlineStr">
        <is>
          <t>00025771</t>
        </is>
      </c>
      <c r="B904" s="5" t="inlineStr">
        <is>
          <t>[00025771] BIOCAL PLUS 60 TAB</t>
        </is>
      </c>
      <c r="C904" s="5" t="inlineStr">
        <is>
          <t>دواء</t>
        </is>
      </c>
      <c r="D904" s="13" t="inlineStr">
        <is>
          <t>0766961414781</t>
        </is>
      </c>
      <c r="E904" s="14">
        <f>L904-K904</f>
        <v/>
      </c>
      <c r="F904" s="14" t="n">
        <v>0</v>
      </c>
      <c r="G904" s="14">
        <f>F904-E904</f>
        <v/>
      </c>
      <c r="H904" s="7" t="n">
        <v>33</v>
      </c>
      <c r="I904" s="7">
        <f>G904*H904</f>
        <v/>
      </c>
      <c r="J904" s="16" t="inlineStr">
        <is>
          <t>لم يُجرد</t>
        </is>
      </c>
      <c r="K904" s="14" t="n">
        <v>0</v>
      </c>
      <c r="L904" s="14" t="n">
        <v>3</v>
      </c>
      <c r="M904" s="5" t="inlineStr"/>
      <c r="N904" s="5" t="inlineStr"/>
    </row>
    <row r="905">
      <c r="A905" s="13" t="inlineStr">
        <is>
          <t>0004650</t>
        </is>
      </c>
      <c r="B905" s="5" t="inlineStr">
        <is>
          <t>[0004650] VOLTAREN 50MG 20 TAB******</t>
        </is>
      </c>
      <c r="C905" s="5" t="inlineStr">
        <is>
          <t>دواء</t>
        </is>
      </c>
      <c r="D905" s="13" t="inlineStr">
        <is>
          <t>010761279719878010kf</t>
        </is>
      </c>
      <c r="E905" s="14">
        <f>L905-K905</f>
        <v/>
      </c>
      <c r="F905" s="14" t="n">
        <v>0</v>
      </c>
      <c r="G905" s="14">
        <f>F905-E905</f>
        <v/>
      </c>
      <c r="H905" s="7" t="n">
        <v>19.8</v>
      </c>
      <c r="I905" s="7">
        <f>G905*H905</f>
        <v/>
      </c>
      <c r="J905" s="16" t="inlineStr">
        <is>
          <t>لم يُجرد</t>
        </is>
      </c>
      <c r="K905" s="14" t="n">
        <v>0</v>
      </c>
      <c r="L905" s="14" t="n">
        <v>5</v>
      </c>
      <c r="M905" s="5" t="inlineStr"/>
      <c r="N905" s="5" t="inlineStr"/>
    </row>
    <row r="906">
      <c r="A906" s="13" t="inlineStr">
        <is>
          <t>00037833</t>
        </is>
      </c>
      <c r="B906" s="5" t="inlineStr">
        <is>
          <t>[00037833] MAW FERRO CARE 30 ORAL PATCH</t>
        </is>
      </c>
      <c r="C906" s="5" t="inlineStr">
        <is>
          <t>دواء</t>
        </is>
      </c>
      <c r="D906" s="13" t="inlineStr">
        <is>
          <t>6286709000280</t>
        </is>
      </c>
      <c r="E906" s="14">
        <f>L906-K906</f>
        <v/>
      </c>
      <c r="F906" s="14" t="n">
        <v>0</v>
      </c>
      <c r="G906" s="14">
        <f>F906-E906</f>
        <v/>
      </c>
      <c r="H906" s="7" t="n">
        <v>68.7</v>
      </c>
      <c r="I906" s="7">
        <f>G906*H906</f>
        <v/>
      </c>
      <c r="J906" s="16" t="inlineStr">
        <is>
          <t>لم يُجرد</t>
        </is>
      </c>
      <c r="K906" s="14" t="n">
        <v>0</v>
      </c>
      <c r="L906" s="14" t="n">
        <v>3</v>
      </c>
      <c r="M906" s="5" t="inlineStr"/>
      <c r="N906" s="5" t="inlineStr"/>
    </row>
    <row r="907">
      <c r="A907" s="13" t="inlineStr">
        <is>
          <t>00048825</t>
        </is>
      </c>
      <c r="B907" s="5" t="inlineStr">
        <is>
          <t>[00048825] MY HEALTH MOBI GEL 100 ML 1089</t>
        </is>
      </c>
      <c r="C907" s="5" t="inlineStr">
        <is>
          <t>دواء</t>
        </is>
      </c>
      <c r="D907" s="13" t="inlineStr">
        <is>
          <t>6286709001089</t>
        </is>
      </c>
      <c r="E907" s="14">
        <f>L907-K907</f>
        <v/>
      </c>
      <c r="F907" s="14" t="n">
        <v>0</v>
      </c>
      <c r="G907" s="14">
        <f>F907-E907</f>
        <v/>
      </c>
      <c r="H907" s="7" t="n">
        <v>68.7</v>
      </c>
      <c r="I907" s="7">
        <f>G907*H907</f>
        <v/>
      </c>
      <c r="J907" s="16" t="inlineStr">
        <is>
          <t>لم يُجرد</t>
        </is>
      </c>
      <c r="K907" s="14" t="n">
        <v>0</v>
      </c>
      <c r="L907" s="14" t="n">
        <v>3</v>
      </c>
      <c r="M907" s="5" t="inlineStr"/>
      <c r="N907" s="5" t="inlineStr"/>
    </row>
    <row r="908">
      <c r="A908" s="13" t="inlineStr">
        <is>
          <t>00020460</t>
        </is>
      </c>
      <c r="B908" s="5" t="inlineStr">
        <is>
          <t>[00020460] DERMO OINT 30GM</t>
        </is>
      </c>
      <c r="C908" s="5" t="inlineStr">
        <is>
          <t>دواء</t>
        </is>
      </c>
      <c r="D908" s="13" t="inlineStr">
        <is>
          <t>6287017610062</t>
        </is>
      </c>
      <c r="E908" s="14">
        <f>L908-K908</f>
        <v/>
      </c>
      <c r="F908" s="14" t="n">
        <v>0</v>
      </c>
      <c r="G908" s="14">
        <f>F908-E908</f>
        <v/>
      </c>
      <c r="H908" s="7" t="n">
        <v>57</v>
      </c>
      <c r="I908" s="7">
        <f>G908*H908</f>
        <v/>
      </c>
      <c r="J908" s="16" t="inlineStr">
        <is>
          <t>لم يُجرد</t>
        </is>
      </c>
      <c r="K908" s="14" t="n">
        <v>0</v>
      </c>
      <c r="L908" s="14" t="n">
        <v>4</v>
      </c>
      <c r="M908" s="5" t="inlineStr"/>
      <c r="N908" s="5" t="inlineStr"/>
    </row>
    <row r="909">
      <c r="A909" s="13" t="inlineStr">
        <is>
          <t>00018213</t>
        </is>
      </c>
      <c r="B909" s="5" t="inlineStr">
        <is>
          <t>[00018213] DAPOX 30 MG 4 TAB</t>
        </is>
      </c>
      <c r="C909" s="5" t="inlineStr">
        <is>
          <t>دواء</t>
        </is>
      </c>
      <c r="D909" s="13" t="inlineStr">
        <is>
          <t>06285128012980</t>
        </is>
      </c>
      <c r="E909" s="14">
        <f>L909-K909</f>
        <v/>
      </c>
      <c r="F909" s="14" t="n">
        <v>0</v>
      </c>
      <c r="G909" s="14">
        <f>F909-E909</f>
        <v/>
      </c>
      <c r="H909" s="7" t="n">
        <v>52.65</v>
      </c>
      <c r="I909" s="7">
        <f>G909*H909</f>
        <v/>
      </c>
      <c r="J909" s="16" t="inlineStr">
        <is>
          <t>لم يُجرد</t>
        </is>
      </c>
      <c r="K909" s="14" t="n">
        <v>0</v>
      </c>
      <c r="L909" s="14" t="n">
        <v>4.5</v>
      </c>
      <c r="M909" s="5" t="inlineStr"/>
      <c r="N909" s="5" t="inlineStr"/>
    </row>
    <row r="910">
      <c r="A910" s="13" t="inlineStr">
        <is>
          <t>0004421</t>
        </is>
      </c>
      <c r="B910" s="5" t="inlineStr">
        <is>
          <t>[0004421] BIOCAL D 60 TAB</t>
        </is>
      </c>
      <c r="C910" s="5" t="inlineStr">
        <is>
          <t>دواء</t>
        </is>
      </c>
      <c r="D910" s="13" t="inlineStr">
        <is>
          <t>766961304068</t>
        </is>
      </c>
      <c r="E910" s="14">
        <f>L910-K910</f>
        <v/>
      </c>
      <c r="F910" s="14" t="n">
        <v>0</v>
      </c>
      <c r="G910" s="14">
        <f>F910-E910</f>
        <v/>
      </c>
      <c r="H910" s="7" t="n">
        <v>33</v>
      </c>
      <c r="I910" s="7">
        <f>G910*H910</f>
        <v/>
      </c>
      <c r="J910" s="16" t="inlineStr">
        <is>
          <t>لم يُجرد</t>
        </is>
      </c>
      <c r="K910" s="14" t="n">
        <v>0</v>
      </c>
      <c r="L910" s="14" t="n">
        <v>3</v>
      </c>
      <c r="M910" s="5" t="inlineStr"/>
      <c r="N910" s="5" t="inlineStr"/>
    </row>
    <row r="911">
      <c r="A911" s="13" t="inlineStr">
        <is>
          <t>0004486</t>
        </is>
      </c>
      <c r="B911" s="5" t="inlineStr">
        <is>
          <t>[0004486] ZIMAX SUSPENSION 200MG 15ML</t>
        </is>
      </c>
      <c r="C911" s="5" t="inlineStr">
        <is>
          <t>دواء</t>
        </is>
      </c>
      <c r="D911" s="13" t="inlineStr">
        <is>
          <t>06281086011690</t>
        </is>
      </c>
      <c r="E911" s="14">
        <f>L911-K911</f>
        <v/>
      </c>
      <c r="F911" s="14" t="n">
        <v>0</v>
      </c>
      <c r="G911" s="14">
        <f>F911-E911</f>
        <v/>
      </c>
      <c r="H911" s="7" t="n">
        <v>24.6</v>
      </c>
      <c r="I911" s="7">
        <f>G911*H911</f>
        <v/>
      </c>
      <c r="J911" s="16" t="inlineStr">
        <is>
          <t>لم يُجرد</t>
        </is>
      </c>
      <c r="K911" s="14" t="n">
        <v>0</v>
      </c>
      <c r="L911" s="14" t="n">
        <v>4</v>
      </c>
      <c r="M911" s="5" t="inlineStr"/>
      <c r="N911" s="5" t="inlineStr"/>
    </row>
    <row r="912">
      <c r="A912" s="13" t="inlineStr">
        <is>
          <t>00034863</t>
        </is>
      </c>
      <c r="B912" s="5" t="inlineStr">
        <is>
          <t>[00034863] AROX UD 5%EYE DROP</t>
        </is>
      </c>
      <c r="C912" s="5" t="inlineStr">
        <is>
          <t>دواء</t>
        </is>
      </c>
      <c r="D912" s="13" t="inlineStr"/>
      <c r="E912" s="14">
        <f>L912-K912</f>
        <v/>
      </c>
      <c r="F912" s="14" t="n">
        <v>0</v>
      </c>
      <c r="G912" s="14">
        <f>F912-E912</f>
        <v/>
      </c>
      <c r="H912" s="7" t="n">
        <v>33.35</v>
      </c>
      <c r="I912" s="7">
        <f>G912*H912</f>
        <v/>
      </c>
      <c r="J912" s="16" t="inlineStr">
        <is>
          <t>لم يُجرد</t>
        </is>
      </c>
      <c r="K912" s="14" t="n">
        <v>0</v>
      </c>
      <c r="L912" s="14" t="n">
        <v>3</v>
      </c>
      <c r="M912" s="5" t="inlineStr"/>
      <c r="N912" s="5" t="inlineStr"/>
    </row>
    <row r="913">
      <c r="A913" s="13" t="inlineStr">
        <is>
          <t>00017929</t>
        </is>
      </c>
      <c r="B913" s="5" t="inlineStr">
        <is>
          <t>[00017929] OLFEN PATCH 140 MG</t>
        </is>
      </c>
      <c r="C913" s="5" t="inlineStr">
        <is>
          <t>دواء</t>
        </is>
      </c>
      <c r="D913" s="13" t="inlineStr">
        <is>
          <t>01076401530853512134</t>
        </is>
      </c>
      <c r="E913" s="14">
        <f>L913-K913</f>
        <v/>
      </c>
      <c r="F913" s="14" t="n">
        <v>0</v>
      </c>
      <c r="G913" s="14">
        <f>F913-E913</f>
        <v/>
      </c>
      <c r="H913" s="7" t="n">
        <v>49.35</v>
      </c>
      <c r="I913" s="7">
        <f>G913*H913</f>
        <v/>
      </c>
      <c r="J913" s="16" t="inlineStr">
        <is>
          <t>لم يُجرد</t>
        </is>
      </c>
      <c r="K913" s="14" t="n">
        <v>0</v>
      </c>
      <c r="L913" s="14" t="n">
        <v>2</v>
      </c>
      <c r="M913" s="5" t="inlineStr"/>
      <c r="N913" s="5" t="inlineStr"/>
    </row>
    <row r="914">
      <c r="A914" s="13" t="inlineStr">
        <is>
          <t>0003805</t>
        </is>
      </c>
      <c r="B914" s="5" t="inlineStr">
        <is>
          <t>[0003805] FEROSAC INJECTION 100MG/ 5ML</t>
        </is>
      </c>
      <c r="C914" s="5" t="inlineStr">
        <is>
          <t>دواء</t>
        </is>
      </c>
      <c r="D914" s="13" t="inlineStr">
        <is>
          <t>06281086010761</t>
        </is>
      </c>
      <c r="E914" s="14">
        <f>L914-K914</f>
        <v/>
      </c>
      <c r="F914" s="14" t="n">
        <v>0</v>
      </c>
      <c r="G914" s="14">
        <f>F914-E914</f>
        <v/>
      </c>
      <c r="H914" s="7" t="n">
        <v>94</v>
      </c>
      <c r="I914" s="7">
        <f>G914*H914</f>
        <v/>
      </c>
      <c r="J914" s="16" t="inlineStr">
        <is>
          <t>لم يُجرد</t>
        </is>
      </c>
      <c r="K914" s="14" t="n">
        <v>0</v>
      </c>
      <c r="L914" s="14" t="n">
        <v>1</v>
      </c>
      <c r="M914" s="5" t="inlineStr"/>
      <c r="N914" s="5" t="inlineStr"/>
    </row>
    <row r="915">
      <c r="A915" s="13" t="inlineStr">
        <is>
          <t>00046441</t>
        </is>
      </c>
      <c r="B915" s="5" t="inlineStr">
        <is>
          <t>[00046441] HEMRIMAT 25GM GEL</t>
        </is>
      </c>
      <c r="C915" s="5" t="inlineStr">
        <is>
          <t>دواء</t>
        </is>
      </c>
      <c r="D915" s="13" t="inlineStr">
        <is>
          <t>660111459854</t>
        </is>
      </c>
      <c r="E915" s="14">
        <f>L915-K915</f>
        <v/>
      </c>
      <c r="F915" s="14" t="n">
        <v>0</v>
      </c>
      <c r="G915" s="14">
        <f>F915-E915</f>
        <v/>
      </c>
      <c r="H915" s="7" t="n">
        <v>48.96</v>
      </c>
      <c r="I915" s="7">
        <f>G915*H915</f>
        <v/>
      </c>
      <c r="J915" s="16" t="inlineStr">
        <is>
          <t>لم يُجرد</t>
        </is>
      </c>
      <c r="K915" s="14" t="n">
        <v>0</v>
      </c>
      <c r="L915" s="14" t="n">
        <v>2</v>
      </c>
      <c r="M915" s="5" t="inlineStr"/>
      <c r="N915" s="5" t="inlineStr"/>
    </row>
    <row r="916">
      <c r="A916" s="13" t="inlineStr">
        <is>
          <t>00030507</t>
        </is>
      </c>
      <c r="B916" s="5" t="inlineStr">
        <is>
          <t>[00030507] LODIPAM 5MG TAB</t>
        </is>
      </c>
      <c r="C916" s="5" t="inlineStr">
        <is>
          <t>دواء</t>
        </is>
      </c>
      <c r="D916" s="13" t="inlineStr"/>
      <c r="E916" s="14">
        <f>L916-K916</f>
        <v/>
      </c>
      <c r="F916" s="14" t="n">
        <v>0</v>
      </c>
      <c r="G916" s="14">
        <f>F916-E916</f>
        <v/>
      </c>
      <c r="H916" s="7" t="n">
        <v>53.35</v>
      </c>
      <c r="I916" s="7">
        <f>G916*H916</f>
        <v/>
      </c>
      <c r="J916" s="16" t="inlineStr">
        <is>
          <t>لم يُجرد</t>
        </is>
      </c>
      <c r="K916" s="14" t="n">
        <v>0</v>
      </c>
      <c r="L916" s="14" t="n">
        <v>3</v>
      </c>
      <c r="M916" s="5" t="inlineStr"/>
      <c r="N916" s="5" t="inlineStr"/>
    </row>
    <row r="917">
      <c r="A917" s="13" t="inlineStr">
        <is>
          <t>00021919</t>
        </is>
      </c>
      <c r="B917" s="5" t="inlineStr">
        <is>
          <t>[00021919] FEXOFIN 180MG 3*10 TAB</t>
        </is>
      </c>
      <c r="C917" s="5" t="inlineStr">
        <is>
          <t>دواء</t>
        </is>
      </c>
      <c r="D917" s="13" t="inlineStr"/>
      <c r="E917" s="14">
        <f>L917-K917</f>
        <v/>
      </c>
      <c r="F917" s="14" t="n">
        <v>0</v>
      </c>
      <c r="G917" s="14">
        <f>F917-E917</f>
        <v/>
      </c>
      <c r="H917" s="7" t="n">
        <v>32.5</v>
      </c>
      <c r="I917" s="7">
        <f>G917*H917</f>
        <v/>
      </c>
      <c r="J917" s="16" t="inlineStr">
        <is>
          <t>لم يُجرد</t>
        </is>
      </c>
      <c r="K917" s="14" t="n">
        <v>0</v>
      </c>
      <c r="L917" s="14" t="n">
        <v>3</v>
      </c>
      <c r="M917" s="5" t="inlineStr"/>
      <c r="N917" s="5" t="inlineStr"/>
    </row>
    <row r="918">
      <c r="A918" s="13" t="inlineStr">
        <is>
          <t>0005211</t>
        </is>
      </c>
      <c r="B918" s="5" t="inlineStr">
        <is>
          <t>[0005211] MARNYS PROPOLSAFT SYRUP</t>
        </is>
      </c>
      <c r="C918" s="5" t="inlineStr">
        <is>
          <t>دواء</t>
        </is>
      </c>
      <c r="D918" s="13" t="inlineStr">
        <is>
          <t>8410885080066</t>
        </is>
      </c>
      <c r="E918" s="14">
        <f>L918-K918</f>
        <v/>
      </c>
      <c r="F918" s="14" t="n">
        <v>0</v>
      </c>
      <c r="G918" s="14">
        <f>F918-E918</f>
        <v/>
      </c>
      <c r="H918" s="7" t="n">
        <v>49</v>
      </c>
      <c r="I918" s="7">
        <f>G918*H918</f>
        <v/>
      </c>
      <c r="J918" s="16" t="inlineStr">
        <is>
          <t>لم يُجرد</t>
        </is>
      </c>
      <c r="K918" s="14" t="n">
        <v>0</v>
      </c>
      <c r="L918" s="14" t="n">
        <v>3</v>
      </c>
      <c r="M918" s="5" t="inlineStr"/>
      <c r="N918" s="5" t="inlineStr"/>
    </row>
    <row r="919">
      <c r="A919" s="13" t="inlineStr">
        <is>
          <t>0005848</t>
        </is>
      </c>
      <c r="B919" s="5" t="inlineStr">
        <is>
          <t>[0005848] AVALON AVOBAN OINTMINT 15 GM</t>
        </is>
      </c>
      <c r="C919" s="5" t="inlineStr">
        <is>
          <t>دواء</t>
        </is>
      </c>
      <c r="D919" s="13" t="inlineStr">
        <is>
          <t>01062850950047041720</t>
        </is>
      </c>
      <c r="E919" s="14">
        <f>L919-K919</f>
        <v/>
      </c>
      <c r="F919" s="14" t="n">
        <v>0</v>
      </c>
      <c r="G919" s="14">
        <f>F919-E919</f>
        <v/>
      </c>
      <c r="H919" s="7" t="n">
        <v>19.4</v>
      </c>
      <c r="I919" s="7">
        <f>G919*H919</f>
        <v/>
      </c>
      <c r="J919" s="16" t="inlineStr">
        <is>
          <t>لم يُجرد</t>
        </is>
      </c>
      <c r="K919" s="14" t="n">
        <v>0</v>
      </c>
      <c r="L919" s="14" t="n">
        <v>5</v>
      </c>
      <c r="M919" s="5" t="inlineStr"/>
      <c r="N919" s="5" t="inlineStr"/>
    </row>
    <row r="920">
      <c r="A920" s="13" t="inlineStr">
        <is>
          <t>0003617</t>
        </is>
      </c>
      <c r="B920" s="5" t="inlineStr">
        <is>
          <t>[0003617] FLECTOR EP TISSUGEL PATCHES 5"S</t>
        </is>
      </c>
      <c r="C920" s="5" t="inlineStr">
        <is>
          <t>دواء</t>
        </is>
      </c>
      <c r="D920" s="13" t="inlineStr">
        <is>
          <t>7612291010656</t>
        </is>
      </c>
      <c r="E920" s="14">
        <f>L920-K920</f>
        <v/>
      </c>
      <c r="F920" s="14" t="n">
        <v>0</v>
      </c>
      <c r="G920" s="14">
        <f>F920-E920</f>
        <v/>
      </c>
      <c r="H920" s="7" t="n">
        <v>49.35</v>
      </c>
      <c r="I920" s="7">
        <f>G920*H920</f>
        <v/>
      </c>
      <c r="J920" s="16" t="inlineStr">
        <is>
          <t>لم يُجرد</t>
        </is>
      </c>
      <c r="K920" s="14" t="n">
        <v>0</v>
      </c>
      <c r="L920" s="14" t="n">
        <v>2</v>
      </c>
      <c r="M920" s="5" t="inlineStr"/>
      <c r="N920" s="5" t="inlineStr"/>
    </row>
    <row r="921">
      <c r="A921" s="13" t="inlineStr">
        <is>
          <t>0003093</t>
        </is>
      </c>
      <c r="B921" s="5" t="inlineStr">
        <is>
          <t>[0003093] FUSIX 40MG TAB</t>
        </is>
      </c>
      <c r="C921" s="5" t="inlineStr">
        <is>
          <t>دواء</t>
        </is>
      </c>
      <c r="D921" s="13" t="inlineStr">
        <is>
          <t>01062850850012491720</t>
        </is>
      </c>
      <c r="E921" s="14">
        <f>L921-K921</f>
        <v/>
      </c>
      <c r="F921" s="14" t="n">
        <v>0</v>
      </c>
      <c r="G921" s="14">
        <f>F921-E921</f>
        <v/>
      </c>
      <c r="H921" s="7" t="n">
        <v>24.65</v>
      </c>
      <c r="I921" s="7">
        <f>G921*H921</f>
        <v/>
      </c>
      <c r="J921" s="16" t="inlineStr">
        <is>
          <t>لم يُجرد</t>
        </is>
      </c>
      <c r="K921" s="14" t="n">
        <v>0</v>
      </c>
      <c r="L921" s="14" t="n">
        <v>5</v>
      </c>
      <c r="M921" s="5" t="inlineStr"/>
      <c r="N921" s="5" t="inlineStr"/>
    </row>
    <row r="922">
      <c r="A922" s="13" t="inlineStr">
        <is>
          <t>00028454</t>
        </is>
      </c>
      <c r="B922" s="5" t="inlineStr">
        <is>
          <t>[00028454] ARGISPART 30 CHEWABLE TAB</t>
        </is>
      </c>
      <c r="C922" s="5" t="inlineStr">
        <is>
          <t>دواء</t>
        </is>
      </c>
      <c r="D922" s="13" t="inlineStr">
        <is>
          <t>795044248227</t>
        </is>
      </c>
      <c r="E922" s="14">
        <f>L922-K922</f>
        <v/>
      </c>
      <c r="F922" s="14" t="n">
        <v>0</v>
      </c>
      <c r="G922" s="14">
        <f>F922-E922</f>
        <v/>
      </c>
      <c r="H922" s="7" t="n">
        <v>100</v>
      </c>
      <c r="I922" s="7">
        <f>G922*H922</f>
        <v/>
      </c>
      <c r="J922" s="16" t="inlineStr">
        <is>
          <t>لم يُجرد</t>
        </is>
      </c>
      <c r="K922" s="14" t="n">
        <v>0</v>
      </c>
      <c r="L922" s="14" t="n">
        <v>2</v>
      </c>
      <c r="M922" s="5" t="inlineStr"/>
      <c r="N922" s="5" t="inlineStr"/>
    </row>
    <row r="923">
      <c r="A923" s="13" t="inlineStr">
        <is>
          <t>0003260</t>
        </is>
      </c>
      <c r="B923" s="5" t="inlineStr">
        <is>
          <t>[0003260] SINOMARIN CHILD SPY 100ML</t>
        </is>
      </c>
      <c r="C923" s="5" t="inlineStr">
        <is>
          <t>دواء</t>
        </is>
      </c>
      <c r="D923" s="13" t="inlineStr">
        <is>
          <t>5201623203631</t>
        </is>
      </c>
      <c r="E923" s="14">
        <f>L923-K923</f>
        <v/>
      </c>
      <c r="F923" s="14" t="n">
        <v>0</v>
      </c>
      <c r="G923" s="14">
        <f>F923-E923</f>
        <v/>
      </c>
      <c r="H923" s="7" t="n">
        <v>56</v>
      </c>
      <c r="I923" s="7">
        <f>G923*H923</f>
        <v/>
      </c>
      <c r="J923" s="16" t="inlineStr">
        <is>
          <t>لم يُجرد</t>
        </is>
      </c>
      <c r="K923" s="14" t="n">
        <v>0</v>
      </c>
      <c r="L923" s="14" t="n">
        <v>2</v>
      </c>
      <c r="M923" s="5" t="inlineStr"/>
      <c r="N923" s="5" t="inlineStr"/>
    </row>
    <row r="924">
      <c r="A924" s="13" t="inlineStr">
        <is>
          <t>0004239</t>
        </is>
      </c>
      <c r="B924" s="5" t="inlineStr">
        <is>
          <t>[0004239] CIPROGEN 500MG 10TAB</t>
        </is>
      </c>
      <c r="C924" s="5" t="inlineStr">
        <is>
          <t>دواء</t>
        </is>
      </c>
      <c r="D924" s="13" t="inlineStr"/>
      <c r="E924" s="14">
        <f>L924-K924</f>
        <v/>
      </c>
      <c r="F924" s="14" t="n">
        <v>0</v>
      </c>
      <c r="G924" s="14">
        <f>F924-E924</f>
        <v/>
      </c>
      <c r="H924" s="7" t="n">
        <v>54.25</v>
      </c>
      <c r="I924" s="7">
        <f>G924*H924</f>
        <v/>
      </c>
      <c r="J924" s="16" t="inlineStr">
        <is>
          <t>لم يُجرد</t>
        </is>
      </c>
      <c r="K924" s="14" t="n">
        <v>0</v>
      </c>
      <c r="L924" s="14" t="n">
        <v>6</v>
      </c>
      <c r="M924" s="5" t="inlineStr"/>
      <c r="N924" s="5" t="inlineStr"/>
    </row>
    <row r="925">
      <c r="A925" s="13" t="inlineStr">
        <is>
          <t>00047582</t>
        </is>
      </c>
      <c r="B925" s="5" t="inlineStr">
        <is>
          <t>[00047582] INNOVA LIFE HEMATINIC FORMULA 30 CAP 3904</t>
        </is>
      </c>
      <c r="C925" s="5" t="inlineStr">
        <is>
          <t>دواء</t>
        </is>
      </c>
      <c r="D925" s="13" t="inlineStr">
        <is>
          <t>6224011153904</t>
        </is>
      </c>
      <c r="E925" s="14">
        <f>L925-K925</f>
        <v/>
      </c>
      <c r="F925" s="14" t="n">
        <v>0</v>
      </c>
      <c r="G925" s="14">
        <f>F925-E925</f>
        <v/>
      </c>
      <c r="H925" s="7" t="n">
        <v>100</v>
      </c>
      <c r="I925" s="7">
        <f>G925*H925</f>
        <v/>
      </c>
      <c r="J925" s="16" t="inlineStr">
        <is>
          <t>لم يُجرد</t>
        </is>
      </c>
      <c r="K925" s="14" t="n">
        <v>0</v>
      </c>
      <c r="L925" s="14" t="n">
        <v>2</v>
      </c>
      <c r="M925" s="5" t="inlineStr"/>
      <c r="N925" s="5" t="inlineStr"/>
    </row>
    <row r="926">
      <c r="A926" s="13" t="inlineStr">
        <is>
          <t>00047583</t>
        </is>
      </c>
      <c r="B926" s="5" t="inlineStr">
        <is>
          <t>[00047583] INNOVA LIFE MULTIVITAMIN 30 CAP 3942</t>
        </is>
      </c>
      <c r="C926" s="5" t="inlineStr">
        <is>
          <t>دواء</t>
        </is>
      </c>
      <c r="D926" s="13" t="inlineStr">
        <is>
          <t>6224011153942</t>
        </is>
      </c>
      <c r="E926" s="14">
        <f>L926-K926</f>
        <v/>
      </c>
      <c r="F926" s="14" t="n">
        <v>0</v>
      </c>
      <c r="G926" s="14">
        <f>F926-E926</f>
        <v/>
      </c>
      <c r="H926" s="7" t="n">
        <v>100</v>
      </c>
      <c r="I926" s="7">
        <f>G926*H926</f>
        <v/>
      </c>
      <c r="J926" s="16" t="inlineStr">
        <is>
          <t>لم يُجرد</t>
        </is>
      </c>
      <c r="K926" s="14" t="n">
        <v>0</v>
      </c>
      <c r="L926" s="14" t="n">
        <v>2</v>
      </c>
      <c r="M926" s="5" t="inlineStr"/>
      <c r="N926" s="5" t="inlineStr"/>
    </row>
    <row r="927">
      <c r="A927" s="13" t="inlineStr">
        <is>
          <t>00047673</t>
        </is>
      </c>
      <c r="B927" s="5" t="inlineStr">
        <is>
          <t>[00047673] CG OMEGA  CALIFONIA 30 CAP 8698</t>
        </is>
      </c>
      <c r="C927" s="5" t="inlineStr">
        <is>
          <t>دواء</t>
        </is>
      </c>
      <c r="D927" s="13" t="inlineStr">
        <is>
          <t>0618528968698</t>
        </is>
      </c>
      <c r="E927" s="14">
        <f>L927-K927</f>
        <v/>
      </c>
      <c r="F927" s="14" t="n">
        <v>0</v>
      </c>
      <c r="G927" s="14">
        <f>F927-E927</f>
        <v/>
      </c>
      <c r="H927" s="7" t="n">
        <v>95</v>
      </c>
      <c r="I927" s="7">
        <f>G927*H927</f>
        <v/>
      </c>
      <c r="J927" s="16" t="inlineStr">
        <is>
          <t>لم يُجرد</t>
        </is>
      </c>
      <c r="K927" s="14" t="n">
        <v>0</v>
      </c>
      <c r="L927" s="14" t="n">
        <v>2</v>
      </c>
      <c r="M927" s="5" t="inlineStr"/>
      <c r="N927" s="5" t="inlineStr"/>
    </row>
    <row r="928">
      <c r="A928" s="13" t="inlineStr">
        <is>
          <t>0004921</t>
        </is>
      </c>
      <c r="B928" s="5" t="inlineStr">
        <is>
          <t>[0004921] BACTRIM PAED SYRUP 100ML</t>
        </is>
      </c>
      <c r="C928" s="5" t="inlineStr">
        <is>
          <t>دواء</t>
        </is>
      </c>
      <c r="D928" s="13" t="inlineStr">
        <is>
          <t>06281086000724</t>
        </is>
      </c>
      <c r="E928" s="14">
        <f>L928-K928</f>
        <v/>
      </c>
      <c r="F928" s="14" t="n">
        <v>0</v>
      </c>
      <c r="G928" s="14">
        <f>F928-E928</f>
        <v/>
      </c>
      <c r="H928" s="7" t="n">
        <v>19</v>
      </c>
      <c r="I928" s="7">
        <f>G928*H928</f>
        <v/>
      </c>
      <c r="J928" s="16" t="inlineStr">
        <is>
          <t>لم يُجرد</t>
        </is>
      </c>
      <c r="K928" s="14" t="n">
        <v>0</v>
      </c>
      <c r="L928" s="14" t="n">
        <v>5</v>
      </c>
      <c r="M928" s="5" t="inlineStr"/>
      <c r="N928" s="5" t="inlineStr"/>
    </row>
    <row r="929">
      <c r="A929" s="13" t="inlineStr">
        <is>
          <t>00029892</t>
        </is>
      </c>
      <c r="B929" s="5" t="inlineStr">
        <is>
          <t>[00029892] GLOZAL 5MG 30TAB</t>
        </is>
      </c>
      <c r="C929" s="5" t="inlineStr">
        <is>
          <t>دواء</t>
        </is>
      </c>
      <c r="D929" s="13" t="inlineStr"/>
      <c r="E929" s="14">
        <f>L929-K929</f>
        <v/>
      </c>
      <c r="F929" s="14" t="n">
        <v>0</v>
      </c>
      <c r="G929" s="14">
        <f>F929-E929</f>
        <v/>
      </c>
      <c r="H929" s="7" t="n">
        <v>23.9</v>
      </c>
      <c r="I929" s="7">
        <f>G929*H929</f>
        <v/>
      </c>
      <c r="J929" s="16" t="inlineStr">
        <is>
          <t>لم يُجرد</t>
        </is>
      </c>
      <c r="K929" s="14" t="n">
        <v>0</v>
      </c>
      <c r="L929" s="14" t="n">
        <v>4</v>
      </c>
      <c r="M929" s="5" t="inlineStr"/>
      <c r="N929" s="5" t="inlineStr"/>
    </row>
    <row r="930">
      <c r="A930" s="13" t="inlineStr">
        <is>
          <t>00025761</t>
        </is>
      </c>
      <c r="B930" s="5" t="inlineStr">
        <is>
          <t>[00025761] MOUNJARO 2.5</t>
        </is>
      </c>
      <c r="C930" s="5" t="inlineStr">
        <is>
          <t>دواء</t>
        </is>
      </c>
      <c r="D930" s="13" t="inlineStr"/>
      <c r="E930" s="14">
        <f>L930-K930</f>
        <v/>
      </c>
      <c r="F930" s="14" t="n">
        <v>0</v>
      </c>
      <c r="G930" s="14">
        <f>F930-E930</f>
        <v/>
      </c>
      <c r="H930" s="7" t="n">
        <v>1261.4</v>
      </c>
      <c r="I930" s="7">
        <f>G930*H930</f>
        <v/>
      </c>
      <c r="J930" s="16" t="inlineStr">
        <is>
          <t>لم يُجرد</t>
        </is>
      </c>
      <c r="K930" s="14" t="n">
        <v>0</v>
      </c>
      <c r="L930" s="14" t="n">
        <v>1</v>
      </c>
      <c r="M930" s="5" t="inlineStr"/>
      <c r="N930" s="5" t="inlineStr"/>
    </row>
    <row r="931">
      <c r="A931" s="13" t="inlineStr">
        <is>
          <t>0003323</t>
        </is>
      </c>
      <c r="B931" s="5" t="inlineStr">
        <is>
          <t>[0003323] LAMICTAL 100 MG 30 TAB</t>
        </is>
      </c>
      <c r="C931" s="5" t="inlineStr">
        <is>
          <t>دواء</t>
        </is>
      </c>
      <c r="D931" s="13" t="inlineStr">
        <is>
          <t>01062850970004691720</t>
        </is>
      </c>
      <c r="E931" s="14">
        <f>L931-K931</f>
        <v/>
      </c>
      <c r="F931" s="14" t="n">
        <v>0</v>
      </c>
      <c r="G931" s="14">
        <f>F931-E931</f>
        <v/>
      </c>
      <c r="H931" s="7" t="n">
        <v>91.3</v>
      </c>
      <c r="I931" s="7">
        <f>G931*H931</f>
        <v/>
      </c>
      <c r="J931" s="16" t="inlineStr">
        <is>
          <t>لم يُجرد</t>
        </is>
      </c>
      <c r="K931" s="14" t="n">
        <v>0</v>
      </c>
      <c r="L931" s="14" t="n">
        <v>1</v>
      </c>
      <c r="M931" s="5" t="inlineStr"/>
      <c r="N931" s="5" t="inlineStr"/>
    </row>
    <row r="932">
      <c r="A932" s="13" t="inlineStr">
        <is>
          <t>00042161</t>
        </is>
      </c>
      <c r="B932" s="5" t="inlineStr">
        <is>
          <t>[00042161] APPLE CIDER VINEGAR NAFEES PH 100MG 2456</t>
        </is>
      </c>
      <c r="C932" s="5" t="inlineStr">
        <is>
          <t>دواء</t>
        </is>
      </c>
      <c r="D932" s="13" t="inlineStr">
        <is>
          <t>198715532456</t>
        </is>
      </c>
      <c r="E932" s="14">
        <f>L932-K932</f>
        <v/>
      </c>
      <c r="F932" s="14" t="n">
        <v>0</v>
      </c>
      <c r="G932" s="14">
        <f>F932-E932</f>
        <v/>
      </c>
      <c r="H932" s="7" t="n">
        <v>99</v>
      </c>
      <c r="I932" s="7">
        <f>G932*H932</f>
        <v/>
      </c>
      <c r="J932" s="16" t="inlineStr">
        <is>
          <t>لم يُجرد</t>
        </is>
      </c>
      <c r="K932" s="14" t="n">
        <v>0</v>
      </c>
      <c r="L932" s="14" t="n">
        <v>1</v>
      </c>
      <c r="M932" s="5" t="inlineStr"/>
      <c r="N932" s="5" t="inlineStr"/>
    </row>
    <row r="933">
      <c r="A933" s="13" t="inlineStr">
        <is>
          <t>0005184</t>
        </is>
      </c>
      <c r="B933" s="5" t="inlineStr">
        <is>
          <t>[0005184] REFRESH TEARS DROPS 0.5% 15ML</t>
        </is>
      </c>
      <c r="C933" s="5" t="inlineStr">
        <is>
          <t>دواء</t>
        </is>
      </c>
      <c r="D933" s="13" t="inlineStr">
        <is>
          <t>01003002307981501719</t>
        </is>
      </c>
      <c r="E933" s="14">
        <f>L933-K933</f>
        <v/>
      </c>
      <c r="F933" s="14" t="n">
        <v>0</v>
      </c>
      <c r="G933" s="14">
        <f>F933-E933</f>
        <v/>
      </c>
      <c r="H933" s="7" t="n">
        <v>15.8</v>
      </c>
      <c r="I933" s="7">
        <f>G933*H933</f>
        <v/>
      </c>
      <c r="J933" s="16" t="inlineStr">
        <is>
          <t>لم يُجرد</t>
        </is>
      </c>
      <c r="K933" s="14" t="n">
        <v>0</v>
      </c>
      <c r="L933" s="14" t="n">
        <v>6</v>
      </c>
      <c r="M933" s="5" t="inlineStr"/>
      <c r="N933" s="5" t="inlineStr"/>
    </row>
    <row r="934">
      <c r="A934" s="13" t="inlineStr">
        <is>
          <t>00044930</t>
        </is>
      </c>
      <c r="B934" s="5" t="inlineStr">
        <is>
          <t>[00044930] NUTRO GUARD WARM 3 PATCHES 9401</t>
        </is>
      </c>
      <c r="C934" s="5" t="inlineStr">
        <is>
          <t>دواء</t>
        </is>
      </c>
      <c r="D934" s="13" t="inlineStr">
        <is>
          <t>728633969401</t>
        </is>
      </c>
      <c r="E934" s="14">
        <f>L934-K934</f>
        <v/>
      </c>
      <c r="F934" s="14" t="n">
        <v>0</v>
      </c>
      <c r="G934" s="14">
        <f>F934-E934</f>
        <v/>
      </c>
      <c r="H934" s="7" t="n">
        <v>49</v>
      </c>
      <c r="I934" s="7">
        <f>G934*H934</f>
        <v/>
      </c>
      <c r="J934" s="16" t="inlineStr">
        <is>
          <t>لم يُجرد</t>
        </is>
      </c>
      <c r="K934" s="14" t="n">
        <v>0</v>
      </c>
      <c r="L934" s="14" t="n">
        <v>4</v>
      </c>
      <c r="M934" s="5" t="inlineStr"/>
      <c r="N934" s="5" t="inlineStr"/>
    </row>
    <row r="935">
      <c r="A935" s="13" t="inlineStr">
        <is>
          <t>0003579</t>
        </is>
      </c>
      <c r="B935" s="5" t="inlineStr">
        <is>
          <t>[0003579] GLIM 4MG TAB</t>
        </is>
      </c>
      <c r="C935" s="5" t="inlineStr">
        <is>
          <t>دواء</t>
        </is>
      </c>
      <c r="D935" s="13" t="inlineStr">
        <is>
          <t>06281086012352</t>
        </is>
      </c>
      <c r="E935" s="14">
        <f>L935-K935</f>
        <v/>
      </c>
      <c r="F935" s="14" t="n">
        <v>0</v>
      </c>
      <c r="G935" s="14">
        <f>F935-E935</f>
        <v/>
      </c>
      <c r="H935" s="7" t="n">
        <v>47.25</v>
      </c>
      <c r="I935" s="7">
        <f>G935*H935</f>
        <v/>
      </c>
      <c r="J935" s="16" t="inlineStr">
        <is>
          <t>لم يُجرد</t>
        </is>
      </c>
      <c r="K935" s="14" t="n">
        <v>0</v>
      </c>
      <c r="L935" s="14" t="n">
        <v>2</v>
      </c>
      <c r="M935" s="5" t="inlineStr"/>
      <c r="N935" s="5" t="inlineStr"/>
    </row>
    <row r="936">
      <c r="A936" s="13" t="inlineStr">
        <is>
          <t>0004677</t>
        </is>
      </c>
      <c r="B936" s="5" t="inlineStr">
        <is>
          <t>[0004677] VENEX XR 150MG 14CAP</t>
        </is>
      </c>
      <c r="C936" s="5" t="inlineStr">
        <is>
          <t>دواء</t>
        </is>
      </c>
      <c r="D936" s="13" t="inlineStr"/>
      <c r="E936" s="14">
        <f>L936-K936</f>
        <v/>
      </c>
      <c r="F936" s="14" t="n">
        <v>0</v>
      </c>
      <c r="G936" s="14">
        <f>F936-E936</f>
        <v/>
      </c>
      <c r="H936" s="7" t="n">
        <v>90.3</v>
      </c>
      <c r="I936" s="7">
        <f>G936*H936</f>
        <v/>
      </c>
      <c r="J936" s="16" t="inlineStr">
        <is>
          <t>لم يُجرد</t>
        </is>
      </c>
      <c r="K936" s="14" t="n">
        <v>0</v>
      </c>
      <c r="L936" s="14" t="n">
        <v>1</v>
      </c>
      <c r="M936" s="5" t="inlineStr"/>
      <c r="N936" s="5" t="inlineStr"/>
    </row>
    <row r="937">
      <c r="A937" s="13" t="inlineStr">
        <is>
          <t>0005602</t>
        </is>
      </c>
      <c r="B937" s="5" t="inlineStr">
        <is>
          <t>[0005602] MIRZAGEN 15MG 30 TAB</t>
        </is>
      </c>
      <c r="C937" s="5" t="inlineStr">
        <is>
          <t>دواء</t>
        </is>
      </c>
      <c r="D937" s="13" t="inlineStr">
        <is>
          <t>06281080003639</t>
        </is>
      </c>
      <c r="E937" s="14">
        <f>L937-K937</f>
        <v/>
      </c>
      <c r="F937" s="14" t="n">
        <v>0</v>
      </c>
      <c r="G937" s="14">
        <f>F937-E937</f>
        <v/>
      </c>
      <c r="H937" s="7" t="n">
        <v>39.2</v>
      </c>
      <c r="I937" s="7">
        <f>G937*H937</f>
        <v/>
      </c>
      <c r="J937" s="16" t="inlineStr">
        <is>
          <t>لم يُجرد</t>
        </is>
      </c>
      <c r="K937" s="14" t="n">
        <v>0</v>
      </c>
      <c r="L937" s="14" t="n">
        <v>3</v>
      </c>
      <c r="M937" s="5" t="inlineStr"/>
      <c r="N937" s="5" t="inlineStr"/>
    </row>
    <row r="938">
      <c r="A938" s="13" t="inlineStr">
        <is>
          <t>0004283</t>
        </is>
      </c>
      <c r="B938" s="5" t="inlineStr">
        <is>
          <t>[0004283] CLARIMAC 500MG FC TAB</t>
        </is>
      </c>
      <c r="C938" s="5" t="inlineStr">
        <is>
          <t>دواء</t>
        </is>
      </c>
      <c r="D938" s="13" t="inlineStr"/>
      <c r="E938" s="14">
        <f>L938-K938</f>
        <v/>
      </c>
      <c r="F938" s="14" t="n">
        <v>0</v>
      </c>
      <c r="G938" s="14">
        <f>F938-E938</f>
        <v/>
      </c>
      <c r="H938" s="7" t="n">
        <v>54.1</v>
      </c>
      <c r="I938" s="7">
        <f>G938*H938</f>
        <v/>
      </c>
      <c r="J938" s="16" t="inlineStr">
        <is>
          <t>لم يُجرد</t>
        </is>
      </c>
      <c r="K938" s="14" t="n">
        <v>0</v>
      </c>
      <c r="L938" s="14" t="n">
        <v>3</v>
      </c>
      <c r="M938" s="5" t="inlineStr"/>
      <c r="N938" s="5" t="inlineStr"/>
    </row>
    <row r="939">
      <c r="A939" s="13" t="inlineStr">
        <is>
          <t>00018261</t>
        </is>
      </c>
      <c r="B939" s="5" t="inlineStr">
        <is>
          <t>[00018261] AVALON EZ CARE 624 100GMOISTURIZING CREAM 100G</t>
        </is>
      </c>
      <c r="C939" s="5" t="inlineStr">
        <is>
          <t>دواء</t>
        </is>
      </c>
      <c r="D939" s="13" t="inlineStr">
        <is>
          <t>6285095009624</t>
        </is>
      </c>
      <c r="E939" s="14">
        <f>L939-K939</f>
        <v/>
      </c>
      <c r="F939" s="14" t="n">
        <v>0</v>
      </c>
      <c r="G939" s="14">
        <f>F939-E939</f>
        <v/>
      </c>
      <c r="H939" s="7" t="n">
        <v>85</v>
      </c>
      <c r="I939" s="7">
        <f>G939*H939</f>
        <v/>
      </c>
      <c r="J939" s="16" t="inlineStr">
        <is>
          <t>لم يُجرد</t>
        </is>
      </c>
      <c r="K939" s="14" t="n">
        <v>0</v>
      </c>
      <c r="L939" s="14" t="n">
        <v>2</v>
      </c>
      <c r="M939" s="5" t="inlineStr"/>
      <c r="N939" s="5" t="inlineStr"/>
    </row>
    <row r="940">
      <c r="A940" s="13" t="inlineStr">
        <is>
          <t>00025010</t>
        </is>
      </c>
      <c r="B940" s="5" t="inlineStr">
        <is>
          <t>[00025010] يوسيرين كريم معالج الاكزمات بدون عطر 226 مل 11871</t>
        </is>
      </c>
      <c r="C940" s="5" t="inlineStr">
        <is>
          <t>دواء</t>
        </is>
      </c>
      <c r="D940" s="13" t="inlineStr">
        <is>
          <t>072140011871</t>
        </is>
      </c>
      <c r="E940" s="14">
        <f>L940-K940</f>
        <v/>
      </c>
      <c r="F940" s="14" t="n">
        <v>0</v>
      </c>
      <c r="G940" s="14">
        <f>F940-E940</f>
        <v/>
      </c>
      <c r="H940" s="7" t="n">
        <v>71.58</v>
      </c>
      <c r="I940" s="7">
        <f>G940*H940</f>
        <v/>
      </c>
      <c r="J940" s="16" t="inlineStr">
        <is>
          <t>لم يُجرد</t>
        </is>
      </c>
      <c r="K940" s="14" t="n">
        <v>0</v>
      </c>
      <c r="L940" s="14" t="n">
        <v>2</v>
      </c>
      <c r="M940" s="5" t="inlineStr"/>
      <c r="N940" s="5" t="inlineStr"/>
    </row>
    <row r="941">
      <c r="A941" s="13" t="inlineStr">
        <is>
          <t>00045768</t>
        </is>
      </c>
      <c r="B941" s="5" t="inlineStr">
        <is>
          <t>[00045768] AVALON CANDAN 8MG TAB</t>
        </is>
      </c>
      <c r="C941" s="5" t="inlineStr">
        <is>
          <t>دواء</t>
        </is>
      </c>
      <c r="D941" s="13" t="inlineStr"/>
      <c r="E941" s="14">
        <f>L941-K941</f>
        <v/>
      </c>
      <c r="F941" s="14" t="n">
        <v>0</v>
      </c>
      <c r="G941" s="14">
        <f>F941-E941</f>
        <v/>
      </c>
      <c r="H941" s="7" t="n">
        <v>23.45</v>
      </c>
      <c r="I941" s="7">
        <f>G941*H941</f>
        <v/>
      </c>
      <c r="J941" s="16" t="inlineStr">
        <is>
          <t>لم يُجرد</t>
        </is>
      </c>
      <c r="K941" s="14" t="n">
        <v>0</v>
      </c>
      <c r="L941" s="14" t="n">
        <v>4</v>
      </c>
      <c r="M941" s="5" t="inlineStr"/>
      <c r="N941" s="5" t="inlineStr"/>
    </row>
    <row r="942">
      <c r="A942" s="13" t="inlineStr">
        <is>
          <t>0003802</t>
        </is>
      </c>
      <c r="B942" s="5" t="inlineStr">
        <is>
          <t>[0003802] FEROMIN 190 MG 30 TAB</t>
        </is>
      </c>
      <c r="C942" s="5" t="inlineStr">
        <is>
          <t>دواء</t>
        </is>
      </c>
      <c r="D942" s="13" t="inlineStr">
        <is>
          <t>6281080002953</t>
        </is>
      </c>
      <c r="E942" s="14">
        <f>L942-K942</f>
        <v/>
      </c>
      <c r="F942" s="14" t="n">
        <v>0</v>
      </c>
      <c r="G942" s="14">
        <f>F942-E942</f>
        <v/>
      </c>
      <c r="H942" s="7" t="n">
        <v>15.6</v>
      </c>
      <c r="I942" s="7">
        <f>G942*H942</f>
        <v/>
      </c>
      <c r="J942" s="16" t="inlineStr">
        <is>
          <t>لم يُجرد</t>
        </is>
      </c>
      <c r="K942" s="14" t="n">
        <v>0</v>
      </c>
      <c r="L942" s="14" t="n">
        <v>6</v>
      </c>
      <c r="M942" s="5" t="inlineStr"/>
      <c r="N942" s="5" t="inlineStr"/>
    </row>
    <row r="943">
      <c r="A943" s="13" t="inlineStr">
        <is>
          <t>0004434</t>
        </is>
      </c>
      <c r="B943" s="5" t="inlineStr">
        <is>
          <t>[0004434] BETASERC 8 MG TAB 100</t>
        </is>
      </c>
      <c r="C943" s="5" t="inlineStr">
        <is>
          <t>دواء</t>
        </is>
      </c>
      <c r="D943" s="13" t="inlineStr">
        <is>
          <t>01080026600162491719</t>
        </is>
      </c>
      <c r="E943" s="14">
        <f>L943-K943</f>
        <v/>
      </c>
      <c r="F943" s="14" t="n">
        <v>0</v>
      </c>
      <c r="G943" s="14">
        <f>F943-E943</f>
        <v/>
      </c>
      <c r="H943" s="7" t="n">
        <v>90.45</v>
      </c>
      <c r="I943" s="7">
        <f>G943*H943</f>
        <v/>
      </c>
      <c r="J943" s="16" t="inlineStr">
        <is>
          <t>لم يُجرد</t>
        </is>
      </c>
      <c r="K943" s="14" t="n">
        <v>0</v>
      </c>
      <c r="L943" s="14" t="n">
        <v>1</v>
      </c>
      <c r="M943" s="5" t="inlineStr"/>
      <c r="N943" s="5" t="inlineStr"/>
    </row>
    <row r="944">
      <c r="A944" s="13" t="inlineStr">
        <is>
          <t>0004147</t>
        </is>
      </c>
      <c r="B944" s="5" t="inlineStr">
        <is>
          <t>[0004147] AERIUS SYRUP 0.5MG/1ML 150ML</t>
        </is>
      </c>
      <c r="C944" s="5" t="inlineStr">
        <is>
          <t>دواء</t>
        </is>
      </c>
      <c r="D944" s="13" t="inlineStr">
        <is>
          <t>06285074005630</t>
        </is>
      </c>
      <c r="E944" s="14">
        <f>L944-K944</f>
        <v/>
      </c>
      <c r="F944" s="14" t="n">
        <v>0</v>
      </c>
      <c r="G944" s="14">
        <f>F944-E944</f>
        <v/>
      </c>
      <c r="H944" s="7" t="n">
        <v>23.95</v>
      </c>
      <c r="I944" s="7">
        <f>G944*H944</f>
        <v/>
      </c>
      <c r="J944" s="16" t="inlineStr">
        <is>
          <t>لم يُجرد</t>
        </is>
      </c>
      <c r="K944" s="14" t="n">
        <v>0</v>
      </c>
      <c r="L944" s="14" t="n">
        <v>4</v>
      </c>
      <c r="M944" s="5" t="inlineStr"/>
      <c r="N944" s="5" t="inlineStr"/>
    </row>
    <row r="945">
      <c r="A945" s="13" t="inlineStr">
        <is>
          <t>00046046</t>
        </is>
      </c>
      <c r="B945" s="5" t="inlineStr">
        <is>
          <t>[00046046] CYSTINE NHS TAB 0626</t>
        </is>
      </c>
      <c r="C945" s="5" t="inlineStr">
        <is>
          <t>دواء</t>
        </is>
      </c>
      <c r="D945" s="13" t="inlineStr">
        <is>
          <t>6286127000626</t>
        </is>
      </c>
      <c r="E945" s="14">
        <f>L945-K945</f>
        <v/>
      </c>
      <c r="F945" s="14" t="n">
        <v>0</v>
      </c>
      <c r="G945" s="14">
        <f>F945-E945</f>
        <v/>
      </c>
      <c r="H945" s="7" t="n">
        <v>147</v>
      </c>
      <c r="I945" s="7">
        <f>G945*H945</f>
        <v/>
      </c>
      <c r="J945" s="16" t="inlineStr">
        <is>
          <t>لم يُجرد</t>
        </is>
      </c>
      <c r="K945" s="14" t="n">
        <v>0</v>
      </c>
      <c r="L945" s="14" t="n">
        <v>1</v>
      </c>
      <c r="M945" s="5" t="inlineStr"/>
      <c r="N945" s="5" t="inlineStr"/>
    </row>
    <row r="946">
      <c r="A946" s="13" t="inlineStr">
        <is>
          <t>0004920</t>
        </is>
      </c>
      <c r="B946" s="5" t="inlineStr">
        <is>
          <t>[0004920] BACTRIM FORTE (DS)TAB</t>
        </is>
      </c>
      <c r="C946" s="5" t="inlineStr">
        <is>
          <t>دواء</t>
        </is>
      </c>
      <c r="D946" s="13" t="inlineStr">
        <is>
          <t>06281086000823</t>
        </is>
      </c>
      <c r="E946" s="14">
        <f>L946-K946</f>
        <v/>
      </c>
      <c r="F946" s="14" t="n">
        <v>0</v>
      </c>
      <c r="G946" s="14">
        <f>F946-E946</f>
        <v/>
      </c>
      <c r="H946" s="7" t="n">
        <v>23.3</v>
      </c>
      <c r="I946" s="7">
        <f>G946*H946</f>
        <v/>
      </c>
      <c r="J946" s="16" t="inlineStr">
        <is>
          <t>لم يُجرد</t>
        </is>
      </c>
      <c r="K946" s="14" t="n">
        <v>0</v>
      </c>
      <c r="L946" s="14" t="n">
        <v>4</v>
      </c>
      <c r="M946" s="5" t="inlineStr"/>
      <c r="N946" s="5" t="inlineStr"/>
    </row>
    <row r="947">
      <c r="A947" s="13" t="inlineStr">
        <is>
          <t>00027700</t>
        </is>
      </c>
      <c r="B947" s="5" t="inlineStr">
        <is>
          <t>[00027700] OMEGORE DRINK PLUS 150ML 8234</t>
        </is>
      </c>
      <c r="C947" s="5" t="inlineStr">
        <is>
          <t>دواء</t>
        </is>
      </c>
      <c r="D947" s="13" t="inlineStr">
        <is>
          <t>0795044248234</t>
        </is>
      </c>
      <c r="E947" s="14">
        <f>L947-K947</f>
        <v/>
      </c>
      <c r="F947" s="14" t="n">
        <v>0</v>
      </c>
      <c r="G947" s="14">
        <f>F947-E947</f>
        <v/>
      </c>
      <c r="H947" s="7" t="n">
        <v>90</v>
      </c>
      <c r="I947" s="7">
        <f>G947*H947</f>
        <v/>
      </c>
      <c r="J947" s="16" t="inlineStr">
        <is>
          <t>لم يُجرد</t>
        </is>
      </c>
      <c r="K947" s="14" t="n">
        <v>0</v>
      </c>
      <c r="L947" s="14" t="n">
        <v>2</v>
      </c>
      <c r="M947" s="5" t="inlineStr"/>
      <c r="N947" s="5" t="inlineStr"/>
    </row>
    <row r="948">
      <c r="A948" s="13" t="inlineStr">
        <is>
          <t>00028449</t>
        </is>
      </c>
      <c r="B948" s="5" t="inlineStr">
        <is>
          <t>[00028449] LUTINA EFFE TAB</t>
        </is>
      </c>
      <c r="C948" s="5" t="inlineStr">
        <is>
          <t>دواء</t>
        </is>
      </c>
      <c r="D948" s="13" t="inlineStr">
        <is>
          <t>748515537450</t>
        </is>
      </c>
      <c r="E948" s="14">
        <f>L948-K948</f>
        <v/>
      </c>
      <c r="F948" s="14" t="n">
        <v>0</v>
      </c>
      <c r="G948" s="14">
        <f>F948-E948</f>
        <v/>
      </c>
      <c r="H948" s="7" t="n">
        <v>90</v>
      </c>
      <c r="I948" s="7">
        <f>G948*H948</f>
        <v/>
      </c>
      <c r="J948" s="16" t="inlineStr">
        <is>
          <t>لم يُجرد</t>
        </is>
      </c>
      <c r="K948" s="14" t="n">
        <v>0</v>
      </c>
      <c r="L948" s="14" t="n">
        <v>2</v>
      </c>
      <c r="M948" s="5" t="inlineStr"/>
      <c r="N948" s="5" t="inlineStr"/>
    </row>
    <row r="949">
      <c r="A949" s="13" t="inlineStr">
        <is>
          <t>00042751</t>
        </is>
      </c>
      <c r="B949" s="5" t="inlineStr">
        <is>
          <t>[00042751] MOVA CID 400MG 30 CAP 8463</t>
        </is>
      </c>
      <c r="C949" s="5" t="inlineStr">
        <is>
          <t>دواء</t>
        </is>
      </c>
      <c r="D949" s="13" t="inlineStr">
        <is>
          <t>795044248463</t>
        </is>
      </c>
      <c r="E949" s="14">
        <f>L949-K949</f>
        <v/>
      </c>
      <c r="F949" s="14" t="n">
        <v>0</v>
      </c>
      <c r="G949" s="14">
        <f>F949-E949</f>
        <v/>
      </c>
      <c r="H949" s="7" t="n">
        <v>90</v>
      </c>
      <c r="I949" s="7">
        <f>G949*H949</f>
        <v/>
      </c>
      <c r="J949" s="16" t="inlineStr">
        <is>
          <t>لم يُجرد</t>
        </is>
      </c>
      <c r="K949" s="14" t="n">
        <v>0</v>
      </c>
      <c r="L949" s="14" t="n">
        <v>2</v>
      </c>
      <c r="M949" s="5" t="inlineStr"/>
      <c r="N949" s="5" t="inlineStr"/>
    </row>
    <row r="950">
      <c r="A950" s="13" t="inlineStr">
        <is>
          <t>00048506</t>
        </is>
      </c>
      <c r="B950" s="5" t="inlineStr">
        <is>
          <t>[00048506] ARAXCHOLINE 100 ML SYRUP 8470</t>
        </is>
      </c>
      <c r="C950" s="5" t="inlineStr">
        <is>
          <t>دواء</t>
        </is>
      </c>
      <c r="D950" s="13" t="inlineStr">
        <is>
          <t>795044248470</t>
        </is>
      </c>
      <c r="E950" s="14">
        <f>L950-K950</f>
        <v/>
      </c>
      <c r="F950" s="14" t="n">
        <v>0</v>
      </c>
      <c r="G950" s="14">
        <f>F950-E950</f>
        <v/>
      </c>
      <c r="H950" s="7" t="n">
        <v>90</v>
      </c>
      <c r="I950" s="7">
        <f>G950*H950</f>
        <v/>
      </c>
      <c r="J950" s="16" t="inlineStr">
        <is>
          <t>لم يُجرد</t>
        </is>
      </c>
      <c r="K950" s="14" t="n">
        <v>0</v>
      </c>
      <c r="L950" s="14" t="n">
        <v>2</v>
      </c>
      <c r="M950" s="5" t="inlineStr"/>
      <c r="N950" s="5" t="inlineStr"/>
    </row>
    <row r="951">
      <c r="A951" s="13" t="inlineStr">
        <is>
          <t>00032078</t>
        </is>
      </c>
      <c r="B951" s="5" t="inlineStr">
        <is>
          <t>[00032078] LIMITLESS ALLZYME ORIGINAL 30TAB</t>
        </is>
      </c>
      <c r="C951" s="5" t="inlineStr">
        <is>
          <t>دواء</t>
        </is>
      </c>
      <c r="D951" s="13" t="inlineStr">
        <is>
          <t>6287052610171</t>
        </is>
      </c>
      <c r="E951" s="14">
        <f>L951-K951</f>
        <v/>
      </c>
      <c r="F951" s="14" t="n">
        <v>0</v>
      </c>
      <c r="G951" s="14">
        <f>F951-E951</f>
        <v/>
      </c>
      <c r="H951" s="7" t="n">
        <v>43</v>
      </c>
      <c r="I951" s="7">
        <f>G951*H951</f>
        <v/>
      </c>
      <c r="J951" s="16" t="inlineStr">
        <is>
          <t>لم يُجرد</t>
        </is>
      </c>
      <c r="K951" s="14" t="n">
        <v>0</v>
      </c>
      <c r="L951" s="14" t="n">
        <v>2</v>
      </c>
      <c r="M951" s="5" t="inlineStr"/>
      <c r="N951" s="5" t="inlineStr"/>
    </row>
    <row r="952">
      <c r="A952" s="13" t="inlineStr">
        <is>
          <t>0004277</t>
        </is>
      </c>
      <c r="B952" s="5" t="inlineStr">
        <is>
          <t>[0004277] CIPRALEX 10 MG 28 TAB</t>
        </is>
      </c>
      <c r="C952" s="5" t="inlineStr">
        <is>
          <t>دواء</t>
        </is>
      </c>
      <c r="D952" s="13" t="inlineStr"/>
      <c r="E952" s="14">
        <f>L952-K952</f>
        <v/>
      </c>
      <c r="F952" s="14" t="n">
        <v>0</v>
      </c>
      <c r="G952" s="14">
        <f>F952-E952</f>
        <v/>
      </c>
      <c r="H952" s="7" t="n">
        <v>88.5</v>
      </c>
      <c r="I952" s="7">
        <f>G952*H952</f>
        <v/>
      </c>
      <c r="J952" s="16" t="inlineStr">
        <is>
          <t>لم يُجرد</t>
        </is>
      </c>
      <c r="K952" s="14" t="n">
        <v>0</v>
      </c>
      <c r="L952" s="14" t="n">
        <v>1</v>
      </c>
      <c r="M952" s="5" t="inlineStr"/>
      <c r="N952" s="5" t="inlineStr"/>
    </row>
    <row r="953">
      <c r="A953" s="13" t="inlineStr">
        <is>
          <t>00024386</t>
        </is>
      </c>
      <c r="B953" s="5" t="inlineStr">
        <is>
          <t>[00024386] VEGGIE VITD50000 20CAP</t>
        </is>
      </c>
      <c r="C953" s="5" t="inlineStr">
        <is>
          <t>دواء</t>
        </is>
      </c>
      <c r="D953" s="13" t="inlineStr"/>
      <c r="E953" s="14">
        <f>L953-K953</f>
        <v/>
      </c>
      <c r="F953" s="14" t="n">
        <v>0</v>
      </c>
      <c r="G953" s="14">
        <f>F953-E953</f>
        <v/>
      </c>
      <c r="H953" s="7" t="n">
        <v>64.09999999999999</v>
      </c>
      <c r="I953" s="7">
        <f>G953*H953</f>
        <v/>
      </c>
      <c r="J953" s="16" t="inlineStr">
        <is>
          <t>لم يُجرد</t>
        </is>
      </c>
      <c r="K953" s="14" t="n">
        <v>0</v>
      </c>
      <c r="L953" s="14" t="n">
        <v>3</v>
      </c>
      <c r="M953" s="5" t="inlineStr"/>
      <c r="N953" s="5" t="inlineStr"/>
    </row>
    <row r="954">
      <c r="A954" s="13" t="inlineStr">
        <is>
          <t>00022781</t>
        </is>
      </c>
      <c r="B954" s="5" t="inlineStr">
        <is>
          <t>[00022781] CANDEREL 100 8064 GREEN TAB</t>
        </is>
      </c>
      <c r="C954" s="5" t="inlineStr">
        <is>
          <t>دواء</t>
        </is>
      </c>
      <c r="D954" s="13" t="inlineStr">
        <is>
          <t>7640110708064</t>
        </is>
      </c>
      <c r="E954" s="14">
        <f>L954-K954</f>
        <v/>
      </c>
      <c r="F954" s="14" t="n">
        <v>0</v>
      </c>
      <c r="G954" s="14">
        <f>F954-E954</f>
        <v/>
      </c>
      <c r="H954" s="7" t="n">
        <v>16.65</v>
      </c>
      <c r="I954" s="7">
        <f>G954*H954</f>
        <v/>
      </c>
      <c r="J954" s="16" t="inlineStr">
        <is>
          <t>لم يُجرد</t>
        </is>
      </c>
      <c r="K954" s="14" t="n">
        <v>0</v>
      </c>
      <c r="L954" s="14" t="n">
        <v>6</v>
      </c>
      <c r="M954" s="5" t="inlineStr"/>
      <c r="N954" s="5" t="inlineStr"/>
    </row>
    <row r="955">
      <c r="A955" s="13" t="inlineStr">
        <is>
          <t>0004651</t>
        </is>
      </c>
      <c r="B955" s="5" t="inlineStr">
        <is>
          <t>[0004651] VOLTAREN 75MG/3ML INJ******</t>
        </is>
      </c>
      <c r="C955" s="5" t="inlineStr">
        <is>
          <t>دواء</t>
        </is>
      </c>
      <c r="D955" s="13" t="inlineStr">
        <is>
          <t>01076127971976081718</t>
        </is>
      </c>
      <c r="E955" s="14">
        <f>L955-K955</f>
        <v/>
      </c>
      <c r="F955" s="14" t="n">
        <v>0</v>
      </c>
      <c r="G955" s="14">
        <f>F955-E955</f>
        <v/>
      </c>
      <c r="H955" s="7" t="n">
        <v>30.7</v>
      </c>
      <c r="I955" s="7">
        <f>G955*H955</f>
        <v/>
      </c>
      <c r="J955" s="16" t="inlineStr">
        <is>
          <t>لم يُجرد</t>
        </is>
      </c>
      <c r="K955" s="14" t="n">
        <v>0</v>
      </c>
      <c r="L955" s="14" t="n">
        <v>3</v>
      </c>
      <c r="M955" s="5" t="inlineStr"/>
      <c r="N955" s="5" t="inlineStr"/>
    </row>
    <row r="956">
      <c r="A956" s="13" t="inlineStr">
        <is>
          <t>00029793</t>
        </is>
      </c>
      <c r="B956" s="5" t="inlineStr">
        <is>
          <t>[00029793] PUREVER CALCIUM 1+1FREE60PCS</t>
        </is>
      </c>
      <c r="C956" s="5" t="inlineStr">
        <is>
          <t>دواء</t>
        </is>
      </c>
      <c r="D956" s="13" t="inlineStr"/>
      <c r="E956" s="14">
        <f>L956-K956</f>
        <v/>
      </c>
      <c r="F956" s="14" t="n">
        <v>0</v>
      </c>
      <c r="G956" s="14">
        <f>F956-E956</f>
        <v/>
      </c>
      <c r="H956" s="7" t="n">
        <v>86</v>
      </c>
      <c r="I956" s="7">
        <f>G956*H956</f>
        <v/>
      </c>
      <c r="J956" s="16" t="inlineStr">
        <is>
          <t>لم يُجرد</t>
        </is>
      </c>
      <c r="K956" s="14" t="n">
        <v>0</v>
      </c>
      <c r="L956" s="14" t="n">
        <v>1</v>
      </c>
      <c r="M956" s="5" t="inlineStr"/>
      <c r="N956" s="5" t="inlineStr"/>
    </row>
    <row r="957">
      <c r="A957" s="13" t="inlineStr">
        <is>
          <t>00024292</t>
        </is>
      </c>
      <c r="B957" s="5" t="inlineStr">
        <is>
          <t>[00024292] OMEPREX 20MG 14CAP</t>
        </is>
      </c>
      <c r="C957" s="5" t="inlineStr">
        <is>
          <t>دواء</t>
        </is>
      </c>
      <c r="D957" s="13" t="inlineStr"/>
      <c r="E957" s="14">
        <f>L957-K957</f>
        <v/>
      </c>
      <c r="F957" s="14" t="n">
        <v>0</v>
      </c>
      <c r="G957" s="14">
        <f>F957-E957</f>
        <v/>
      </c>
      <c r="H957" s="7" t="n">
        <v>45.95</v>
      </c>
      <c r="I957" s="7">
        <f>G957*H957</f>
        <v/>
      </c>
      <c r="J957" s="16" t="inlineStr">
        <is>
          <t>لم يُجرد</t>
        </is>
      </c>
      <c r="K957" s="14" t="n">
        <v>0</v>
      </c>
      <c r="L957" s="14" t="n">
        <v>2</v>
      </c>
      <c r="M957" s="5" t="inlineStr"/>
      <c r="N957" s="5" t="inlineStr"/>
    </row>
    <row r="958">
      <c r="A958" s="13" t="inlineStr">
        <is>
          <t>00024250</t>
        </is>
      </c>
      <c r="B958" s="5" t="inlineStr">
        <is>
          <t>[00024250] BRONCHICARE IVY SYRUP 100ML</t>
        </is>
      </c>
      <c r="C958" s="5" t="inlineStr">
        <is>
          <t>دواء</t>
        </is>
      </c>
      <c r="D958" s="13" t="inlineStr">
        <is>
          <t>6281147006061</t>
        </is>
      </c>
      <c r="E958" s="14">
        <f>L958-K958</f>
        <v/>
      </c>
      <c r="F958" s="14" t="n">
        <v>0</v>
      </c>
      <c r="G958" s="14">
        <f>F958-E958</f>
        <v/>
      </c>
      <c r="H958" s="7" t="n">
        <v>45.75</v>
      </c>
      <c r="I958" s="7">
        <f>G958*H958</f>
        <v/>
      </c>
      <c r="J958" s="16" t="inlineStr">
        <is>
          <t>لم يُجرد</t>
        </is>
      </c>
      <c r="K958" s="14" t="n">
        <v>0</v>
      </c>
      <c r="L958" s="14" t="n">
        <v>2</v>
      </c>
      <c r="M958" s="5" t="inlineStr"/>
      <c r="N958" s="5" t="inlineStr"/>
    </row>
    <row r="959">
      <c r="A959" s="13" t="inlineStr">
        <is>
          <t>00037737</t>
        </is>
      </c>
      <c r="B959" s="5" t="inlineStr">
        <is>
          <t>[00037737] NOOR CALM DROPS 30ML NQ MENTHOL 8791</t>
        </is>
      </c>
      <c r="C959" s="5" t="inlineStr">
        <is>
          <t>دواء</t>
        </is>
      </c>
      <c r="D959" s="13" t="inlineStr">
        <is>
          <t>0795044248791</t>
        </is>
      </c>
      <c r="E959" s="14">
        <f>L959-K959</f>
        <v/>
      </c>
      <c r="F959" s="14" t="n">
        <v>0</v>
      </c>
      <c r="G959" s="14">
        <f>F959-E959</f>
        <v/>
      </c>
      <c r="H959" s="7" t="n">
        <v>59</v>
      </c>
      <c r="I959" s="7">
        <f>G959*H959</f>
        <v/>
      </c>
      <c r="J959" s="16" t="inlineStr">
        <is>
          <t>لم يُجرد</t>
        </is>
      </c>
      <c r="K959" s="14" t="n">
        <v>0</v>
      </c>
      <c r="L959" s="14" t="n">
        <v>3</v>
      </c>
      <c r="M959" s="5" t="inlineStr"/>
      <c r="N959" s="5" t="inlineStr"/>
    </row>
    <row r="960">
      <c r="A960" s="13" t="inlineStr">
        <is>
          <t>00030516</t>
        </is>
      </c>
      <c r="B960" s="5" t="inlineStr">
        <is>
          <t>[00030516] SUVA 10MG TAB</t>
        </is>
      </c>
      <c r="C960" s="5" t="inlineStr">
        <is>
          <t>دواء</t>
        </is>
      </c>
      <c r="D960" s="13" t="inlineStr">
        <is>
          <t>06288030003190</t>
        </is>
      </c>
      <c r="E960" s="14">
        <f>L960-K960</f>
        <v/>
      </c>
      <c r="F960" s="14" t="n">
        <v>0</v>
      </c>
      <c r="G960" s="14">
        <f>F960-E960</f>
        <v/>
      </c>
      <c r="H960" s="7" t="n">
        <v>50.55</v>
      </c>
      <c r="I960" s="7">
        <f>G960*H960</f>
        <v/>
      </c>
      <c r="J960" s="16" t="inlineStr">
        <is>
          <t>لم يُجرد</t>
        </is>
      </c>
      <c r="K960" s="14" t="n">
        <v>0</v>
      </c>
      <c r="L960" s="14" t="n">
        <v>3</v>
      </c>
      <c r="M960" s="5" t="inlineStr"/>
      <c r="N960" s="5" t="inlineStr"/>
    </row>
    <row r="961">
      <c r="A961" s="13" t="inlineStr">
        <is>
          <t>0004750</t>
        </is>
      </c>
      <c r="B961" s="5" t="inlineStr">
        <is>
          <t>[0004750] TAKEPRON 30MG 14CAPS</t>
        </is>
      </c>
      <c r="C961" s="5" t="inlineStr">
        <is>
          <t>دواء</t>
        </is>
      </c>
      <c r="D961" s="13" t="inlineStr">
        <is>
          <t>6251159028634</t>
        </is>
      </c>
      <c r="E961" s="14">
        <f>L961-K961</f>
        <v/>
      </c>
      <c r="F961" s="14" t="n">
        <v>0</v>
      </c>
      <c r="G961" s="14">
        <f>F961-E961</f>
        <v/>
      </c>
      <c r="H961" s="7" t="n">
        <v>45.95</v>
      </c>
      <c r="I961" s="7">
        <f>G961*H961</f>
        <v/>
      </c>
      <c r="J961" s="16" t="inlineStr">
        <is>
          <t>لم يُجرد</t>
        </is>
      </c>
      <c r="K961" s="14" t="n">
        <v>0</v>
      </c>
      <c r="L961" s="14" t="n">
        <v>3</v>
      </c>
      <c r="M961" s="5" t="inlineStr"/>
      <c r="N961" s="5" t="inlineStr"/>
    </row>
    <row r="962">
      <c r="A962" s="13" t="inlineStr">
        <is>
          <t>00031854</t>
        </is>
      </c>
      <c r="B962" s="5" t="inlineStr">
        <is>
          <t>[00031854] RESILIA 40MG TAB</t>
        </is>
      </c>
      <c r="C962" s="5" t="inlineStr">
        <is>
          <t>دواء</t>
        </is>
      </c>
      <c r="D962" s="13" t="inlineStr"/>
      <c r="E962" s="14">
        <f>L962-K962</f>
        <v/>
      </c>
      <c r="F962" s="14" t="n">
        <v>0</v>
      </c>
      <c r="G962" s="14">
        <f>F962-E962</f>
        <v/>
      </c>
      <c r="H962" s="7" t="n">
        <v>87</v>
      </c>
      <c r="I962" s="7">
        <f>G962*H962</f>
        <v/>
      </c>
      <c r="J962" s="16" t="inlineStr">
        <is>
          <t>لم يُجرد</t>
        </is>
      </c>
      <c r="K962" s="14" t="n">
        <v>0</v>
      </c>
      <c r="L962" s="14" t="n">
        <v>1</v>
      </c>
      <c r="M962" s="5" t="inlineStr"/>
      <c r="N962" s="5" t="inlineStr"/>
    </row>
    <row r="963">
      <c r="A963" s="13" t="inlineStr">
        <is>
          <t>00048262</t>
        </is>
      </c>
      <c r="B963" s="5" t="inlineStr">
        <is>
          <t>[00048262] JP OMEGA MAMA 60 CAP</t>
        </is>
      </c>
      <c r="C963" s="5" t="inlineStr">
        <is>
          <t>دواء</t>
        </is>
      </c>
      <c r="D963" s="13" t="inlineStr">
        <is>
          <t>06285128024433</t>
        </is>
      </c>
      <c r="E963" s="14">
        <f>L963-K963</f>
        <v/>
      </c>
      <c r="F963" s="14" t="n">
        <v>0</v>
      </c>
      <c r="G963" s="14">
        <f>F963-E963</f>
        <v/>
      </c>
      <c r="H963" s="7" t="n">
        <v>89</v>
      </c>
      <c r="I963" s="7">
        <f>G963*H963</f>
        <v/>
      </c>
      <c r="J963" s="16" t="inlineStr">
        <is>
          <t>لم يُجرد</t>
        </is>
      </c>
      <c r="K963" s="14" t="n">
        <v>0</v>
      </c>
      <c r="L963" s="14" t="n">
        <v>1</v>
      </c>
      <c r="M963" s="5" t="inlineStr"/>
      <c r="N963" s="5" t="inlineStr"/>
    </row>
    <row r="964">
      <c r="A964" s="13" t="inlineStr">
        <is>
          <t>00027174</t>
        </is>
      </c>
      <c r="B964" s="5" t="inlineStr">
        <is>
          <t>[00027174] SEVIKAR HCT 20/5/12.5MG 28TAB</t>
        </is>
      </c>
      <c r="C964" s="5" t="inlineStr">
        <is>
          <t>دواء</t>
        </is>
      </c>
      <c r="D964" s="13" t="inlineStr"/>
      <c r="E964" s="14">
        <f>L964-K964</f>
        <v/>
      </c>
      <c r="F964" s="14" t="n">
        <v>0</v>
      </c>
      <c r="G964" s="14">
        <f>F964-E964</f>
        <v/>
      </c>
      <c r="H964" s="7" t="n">
        <v>86.84999999999999</v>
      </c>
      <c r="I964" s="7">
        <f>G964*H964</f>
        <v/>
      </c>
      <c r="J964" s="16" t="inlineStr">
        <is>
          <t>لم يُجرد</t>
        </is>
      </c>
      <c r="K964" s="14" t="n">
        <v>0</v>
      </c>
      <c r="L964" s="14" t="n">
        <v>1</v>
      </c>
      <c r="M964" s="5" t="inlineStr"/>
      <c r="N964" s="5" t="inlineStr"/>
    </row>
    <row r="965">
      <c r="A965" s="13" t="inlineStr">
        <is>
          <t>0003873</t>
        </is>
      </c>
      <c r="B965" s="5" t="inlineStr">
        <is>
          <t>[0003873] ETORIA 120MG 7TABLETS</t>
        </is>
      </c>
      <c r="C965" s="5" t="inlineStr">
        <is>
          <t>دواء</t>
        </is>
      </c>
      <c r="D965" s="13" t="inlineStr">
        <is>
          <t>06281086002889</t>
        </is>
      </c>
      <c r="E965" s="14">
        <f>L965-K965</f>
        <v/>
      </c>
      <c r="F965" s="14" t="n">
        <v>0</v>
      </c>
      <c r="G965" s="14">
        <f>F965-E965</f>
        <v/>
      </c>
      <c r="H965" s="7" t="n">
        <v>15.1</v>
      </c>
      <c r="I965" s="7">
        <f>G965*H965</f>
        <v/>
      </c>
      <c r="J965" s="16" t="inlineStr">
        <is>
          <t>لم يُجرد</t>
        </is>
      </c>
      <c r="K965" s="14" t="n">
        <v>0</v>
      </c>
      <c r="L965" s="14" t="n">
        <v>6</v>
      </c>
      <c r="M965" s="5" t="inlineStr"/>
      <c r="N965" s="5" t="inlineStr"/>
    </row>
    <row r="966">
      <c r="A966" s="13" t="inlineStr">
        <is>
          <t>00039820</t>
        </is>
      </c>
      <c r="B966" s="5" t="inlineStr">
        <is>
          <t>[00039820] AVALON SALINOSE SYMBIOFILM N. SPRAY 100ML</t>
        </is>
      </c>
      <c r="C966" s="5" t="inlineStr">
        <is>
          <t>دواء</t>
        </is>
      </c>
      <c r="D966" s="13" t="inlineStr"/>
      <c r="E966" s="14">
        <f>L966-K966</f>
        <v/>
      </c>
      <c r="F966" s="14" t="n">
        <v>0</v>
      </c>
      <c r="G966" s="14">
        <f>F966-E966</f>
        <v/>
      </c>
      <c r="H966" s="7" t="n">
        <v>60.5</v>
      </c>
      <c r="I966" s="7">
        <f>G966*H966</f>
        <v/>
      </c>
      <c r="J966" s="16" t="inlineStr">
        <is>
          <t>لم يُجرد</t>
        </is>
      </c>
      <c r="K966" s="14" t="n">
        <v>0</v>
      </c>
      <c r="L966" s="14" t="n">
        <v>2</v>
      </c>
      <c r="M966" s="5" t="inlineStr"/>
      <c r="N966" s="5" t="inlineStr"/>
    </row>
    <row r="967">
      <c r="A967" s="13" t="inlineStr">
        <is>
          <t>00012827</t>
        </is>
      </c>
      <c r="B967" s="5" t="inlineStr">
        <is>
          <t>[00012827] ORAMAX 150 MG CAP</t>
        </is>
      </c>
      <c r="C967" s="5" t="inlineStr">
        <is>
          <t>دواء</t>
        </is>
      </c>
      <c r="D967" s="13" t="inlineStr">
        <is>
          <t>01062911000859961719</t>
        </is>
      </c>
      <c r="E967" s="14">
        <f>L967-K967</f>
        <v/>
      </c>
      <c r="F967" s="14" t="n">
        <v>0</v>
      </c>
      <c r="G967" s="14">
        <f>F967-E967</f>
        <v/>
      </c>
      <c r="H967" s="7" t="n">
        <v>15.05</v>
      </c>
      <c r="I967" s="7">
        <f>G967*H967</f>
        <v/>
      </c>
      <c r="J967" s="16" t="inlineStr">
        <is>
          <t>لم يُجرد</t>
        </is>
      </c>
      <c r="K967" s="14" t="n">
        <v>0</v>
      </c>
      <c r="L967" s="14" t="n">
        <v>6</v>
      </c>
      <c r="M967" s="5" t="inlineStr"/>
      <c r="N967" s="5" t="inlineStr"/>
    </row>
    <row r="968">
      <c r="A968" s="13" t="inlineStr">
        <is>
          <t>00015098</t>
        </is>
      </c>
      <c r="B968" s="5" t="inlineStr">
        <is>
          <t>[00015098] PEDIAMOL 15ML DROPS</t>
        </is>
      </c>
      <c r="C968" s="5" t="inlineStr">
        <is>
          <t>دواء</t>
        </is>
      </c>
      <c r="D968" s="13" t="inlineStr">
        <is>
          <t>06285105001624</t>
        </is>
      </c>
      <c r="E968" s="14">
        <f>L968-K968</f>
        <v/>
      </c>
      <c r="F968" s="14" t="n">
        <v>0</v>
      </c>
      <c r="G968" s="14">
        <f>F968-E968</f>
        <v/>
      </c>
      <c r="H968" s="7" t="n">
        <v>7.5</v>
      </c>
      <c r="I968" s="7">
        <f>G968*H968</f>
        <v/>
      </c>
      <c r="J968" s="16" t="inlineStr">
        <is>
          <t>لم يُجرد</t>
        </is>
      </c>
      <c r="K968" s="14" t="n">
        <v>0</v>
      </c>
      <c r="L968" s="14" t="n">
        <v>12</v>
      </c>
      <c r="M968" s="5" t="inlineStr"/>
      <c r="N968" s="5" t="inlineStr"/>
    </row>
    <row r="969">
      <c r="A969" s="13" t="inlineStr">
        <is>
          <t>00023936</t>
        </is>
      </c>
      <c r="B969" s="5" t="inlineStr">
        <is>
          <t>[00023936] CRAN MAXX 60CAP</t>
        </is>
      </c>
      <c r="C969" s="5" t="inlineStr">
        <is>
          <t>دواء</t>
        </is>
      </c>
      <c r="D969" s="13" t="inlineStr">
        <is>
          <t>8410885092540</t>
        </is>
      </c>
      <c r="E969" s="14">
        <f>L969-K969</f>
        <v/>
      </c>
      <c r="F969" s="14" t="n">
        <v>0</v>
      </c>
      <c r="G969" s="14">
        <f>F969-E969</f>
        <v/>
      </c>
      <c r="H969" s="7" t="n">
        <v>150</v>
      </c>
      <c r="I969" s="7">
        <f>G969*H969</f>
        <v/>
      </c>
      <c r="J969" s="16" t="inlineStr">
        <is>
          <t>لم يُجرد</t>
        </is>
      </c>
      <c r="K969" s="14" t="n">
        <v>0</v>
      </c>
      <c r="L969" s="14" t="n">
        <v>1</v>
      </c>
      <c r="M969" s="5" t="inlineStr"/>
      <c r="N969" s="5" t="inlineStr"/>
    </row>
    <row r="970">
      <c r="A970" s="13" t="inlineStr">
        <is>
          <t>00048559</t>
        </is>
      </c>
      <c r="B970" s="5" t="inlineStr">
        <is>
          <t>[00048559] GUMAZING ELDERBERRY 60GUMMIES 3988</t>
        </is>
      </c>
      <c r="C970" s="5" t="inlineStr">
        <is>
          <t>دواء</t>
        </is>
      </c>
      <c r="D970" s="13" t="inlineStr">
        <is>
          <t>5060748883988</t>
        </is>
      </c>
      <c r="E970" s="14">
        <f>L970-K970</f>
        <v/>
      </c>
      <c r="F970" s="14" t="n">
        <v>0</v>
      </c>
      <c r="G970" s="14">
        <f>F970-E970</f>
        <v/>
      </c>
      <c r="H970" s="7" t="n">
        <v>125</v>
      </c>
      <c r="I970" s="7">
        <f>G970*H970</f>
        <v/>
      </c>
      <c r="J970" s="16" t="inlineStr">
        <is>
          <t>لم يُجرد</t>
        </is>
      </c>
      <c r="K970" s="14" t="n">
        <v>0</v>
      </c>
      <c r="L970" s="14" t="n">
        <v>2</v>
      </c>
      <c r="M970" s="5" t="inlineStr"/>
      <c r="N970" s="5" t="inlineStr"/>
    </row>
    <row r="971">
      <c r="A971" s="13" t="inlineStr">
        <is>
          <t>0005752</t>
        </is>
      </c>
      <c r="B971" s="5" t="inlineStr">
        <is>
          <t>[0005752] ASPICARD 120TAB</t>
        </is>
      </c>
      <c r="C971" s="5" t="inlineStr">
        <is>
          <t>دواء</t>
        </is>
      </c>
      <c r="D971" s="13" t="inlineStr"/>
      <c r="E971" s="14">
        <f>L971-K971</f>
        <v/>
      </c>
      <c r="F971" s="14" t="n">
        <v>0</v>
      </c>
      <c r="G971" s="14">
        <f>F971-E971</f>
        <v/>
      </c>
      <c r="H971" s="7" t="n">
        <v>30</v>
      </c>
      <c r="I971" s="7">
        <f>G971*H971</f>
        <v/>
      </c>
      <c r="J971" s="16" t="inlineStr">
        <is>
          <t>لم يُجرد</t>
        </is>
      </c>
      <c r="K971" s="14" t="n">
        <v>0</v>
      </c>
      <c r="L971" s="14" t="n">
        <v>3</v>
      </c>
      <c r="M971" s="5" t="inlineStr"/>
      <c r="N971" s="5" t="inlineStr"/>
    </row>
    <row r="972">
      <c r="A972" s="13" t="inlineStr">
        <is>
          <t>00046460</t>
        </is>
      </c>
      <c r="B972" s="5" t="inlineStr">
        <is>
          <t>[00046460] SEQUIT 25MG 30TAB</t>
        </is>
      </c>
      <c r="C972" s="5" t="inlineStr">
        <is>
          <t>دواء</t>
        </is>
      </c>
      <c r="D972" s="13" t="inlineStr"/>
      <c r="E972" s="14">
        <f>L972-K972</f>
        <v/>
      </c>
      <c r="F972" s="14" t="n">
        <v>0</v>
      </c>
      <c r="G972" s="14">
        <f>F972-E972</f>
        <v/>
      </c>
      <c r="H972" s="7" t="n">
        <v>29.95</v>
      </c>
      <c r="I972" s="7">
        <f>G972*H972</f>
        <v/>
      </c>
      <c r="J972" s="16" t="inlineStr">
        <is>
          <t>لم يُجرد</t>
        </is>
      </c>
      <c r="K972" s="14" t="n">
        <v>0</v>
      </c>
      <c r="L972" s="14" t="n">
        <v>3</v>
      </c>
      <c r="M972" s="5" t="inlineStr"/>
      <c r="N972" s="5" t="inlineStr"/>
    </row>
    <row r="973">
      <c r="A973" s="13" t="inlineStr">
        <is>
          <t>0004154</t>
        </is>
      </c>
      <c r="B973" s="5" t="inlineStr">
        <is>
          <t>[0004154] AGIOLAX GRANULES 250GM</t>
        </is>
      </c>
      <c r="C973" s="5" t="inlineStr">
        <is>
          <t>دواء</t>
        </is>
      </c>
      <c r="D973" s="13" t="inlineStr">
        <is>
          <t>04019338607405</t>
        </is>
      </c>
      <c r="E973" s="14">
        <f>L973-K973</f>
        <v/>
      </c>
      <c r="F973" s="14" t="n">
        <v>0</v>
      </c>
      <c r="G973" s="14">
        <f>F973-E973</f>
        <v/>
      </c>
      <c r="H973" s="7" t="n">
        <v>22.45</v>
      </c>
      <c r="I973" s="7">
        <f>G973*H973</f>
        <v/>
      </c>
      <c r="J973" s="16" t="inlineStr">
        <is>
          <t>لم يُجرد</t>
        </is>
      </c>
      <c r="K973" s="14" t="n">
        <v>0</v>
      </c>
      <c r="L973" s="14" t="n">
        <v>4</v>
      </c>
      <c r="M973" s="5" t="inlineStr"/>
      <c r="N973" s="5" t="inlineStr"/>
    </row>
    <row r="974">
      <c r="A974" s="13" t="inlineStr">
        <is>
          <t>0005685</t>
        </is>
      </c>
      <c r="B974" s="5" t="inlineStr">
        <is>
          <t>[0005685] METAZ CREAM 30 GM</t>
        </is>
      </c>
      <c r="C974" s="5" t="inlineStr">
        <is>
          <t>دواء</t>
        </is>
      </c>
      <c r="D974" s="13" t="inlineStr">
        <is>
          <t>06281086001585</t>
        </is>
      </c>
      <c r="E974" s="14">
        <f>L974-K974</f>
        <v/>
      </c>
      <c r="F974" s="14" t="n">
        <v>0</v>
      </c>
      <c r="G974" s="14">
        <f>F974-E974</f>
        <v/>
      </c>
      <c r="H974" s="7" t="n">
        <v>19.95</v>
      </c>
      <c r="I974" s="7">
        <f>G974*H974</f>
        <v/>
      </c>
      <c r="J974" s="16" t="inlineStr">
        <is>
          <t>لم يُجرد</t>
        </is>
      </c>
      <c r="K974" s="14" t="n">
        <v>0</v>
      </c>
      <c r="L974" s="14" t="n">
        <v>9</v>
      </c>
      <c r="M974" s="5" t="inlineStr"/>
      <c r="N974" s="5" t="inlineStr"/>
    </row>
    <row r="975">
      <c r="A975" s="13" t="inlineStr">
        <is>
          <t>00034243</t>
        </is>
      </c>
      <c r="B975" s="5" t="inlineStr">
        <is>
          <t>[00034243] CALCIVIT 1000 30 CHEWABLET</t>
        </is>
      </c>
      <c r="C975" s="5" t="inlineStr">
        <is>
          <t>دواء</t>
        </is>
      </c>
      <c r="D975" s="13" t="inlineStr">
        <is>
          <t>6285756003398</t>
        </is>
      </c>
      <c r="E975" s="14">
        <f>L975-K975</f>
        <v/>
      </c>
      <c r="F975" s="14" t="n">
        <v>0</v>
      </c>
      <c r="G975" s="14">
        <f>F975-E975</f>
        <v/>
      </c>
      <c r="H975" s="7" t="n">
        <v>65</v>
      </c>
      <c r="I975" s="7">
        <f>G975*H975</f>
        <v/>
      </c>
      <c r="J975" s="16" t="inlineStr">
        <is>
          <t>لم يُجرد</t>
        </is>
      </c>
      <c r="K975" s="14" t="n">
        <v>0</v>
      </c>
      <c r="L975" s="14" t="n">
        <v>2</v>
      </c>
      <c r="M975" s="5" t="inlineStr"/>
      <c r="N975" s="5" t="inlineStr"/>
    </row>
    <row r="976">
      <c r="A976" s="13" t="inlineStr">
        <is>
          <t>00034241</t>
        </is>
      </c>
      <c r="B976" s="5" t="inlineStr">
        <is>
          <t>[00034241] HAEMOVIT 30 CHEWABLE TABLETS</t>
        </is>
      </c>
      <c r="C976" s="5" t="inlineStr">
        <is>
          <t>دواء</t>
        </is>
      </c>
      <c r="D976" s="13" t="inlineStr">
        <is>
          <t>6285756003282</t>
        </is>
      </c>
      <c r="E976" s="14">
        <f>L976-K976</f>
        <v/>
      </c>
      <c r="F976" s="14" t="n">
        <v>0</v>
      </c>
      <c r="G976" s="14">
        <f>F976-E976</f>
        <v/>
      </c>
      <c r="H976" s="7" t="n">
        <v>65</v>
      </c>
      <c r="I976" s="7">
        <f>G976*H976</f>
        <v/>
      </c>
      <c r="J976" s="16" t="inlineStr">
        <is>
          <t>لم يُجرد</t>
        </is>
      </c>
      <c r="K976" s="14" t="n">
        <v>0</v>
      </c>
      <c r="L976" s="14" t="n">
        <v>2</v>
      </c>
      <c r="M976" s="5" t="inlineStr"/>
      <c r="N976" s="5" t="inlineStr"/>
    </row>
    <row r="977">
      <c r="A977" s="13" t="inlineStr">
        <is>
          <t>0003779</t>
        </is>
      </c>
      <c r="B977" s="5" t="inlineStr">
        <is>
          <t>[0003779] FINALLERGE 10MG 30TAB</t>
        </is>
      </c>
      <c r="C977" s="5" t="inlineStr">
        <is>
          <t>دواء</t>
        </is>
      </c>
      <c r="D977" s="13" t="inlineStr">
        <is>
          <t>01062511062003351016</t>
        </is>
      </c>
      <c r="E977" s="14">
        <f>L977-K977</f>
        <v/>
      </c>
      <c r="F977" s="14" t="n">
        <v>0</v>
      </c>
      <c r="G977" s="14">
        <f>F977-E977</f>
        <v/>
      </c>
      <c r="H977" s="7" t="n">
        <v>22.4</v>
      </c>
      <c r="I977" s="7">
        <f>G977*H977</f>
        <v/>
      </c>
      <c r="J977" s="16" t="inlineStr">
        <is>
          <t>لم يُجرد</t>
        </is>
      </c>
      <c r="K977" s="14" t="n">
        <v>0</v>
      </c>
      <c r="L977" s="14" t="n">
        <v>4</v>
      </c>
      <c r="M977" s="5" t="inlineStr"/>
      <c r="N977" s="5" t="inlineStr"/>
    </row>
    <row r="978">
      <c r="A978" s="13" t="inlineStr">
        <is>
          <t>00043228</t>
        </is>
      </c>
      <c r="B978" s="5" t="inlineStr">
        <is>
          <t>[00043228] TENORYL 5MG 30TAB WASFA</t>
        </is>
      </c>
      <c r="C978" s="5" t="inlineStr">
        <is>
          <t>دواء</t>
        </is>
      </c>
      <c r="D978" s="13" t="inlineStr"/>
      <c r="E978" s="14">
        <f>L978-K978</f>
        <v/>
      </c>
      <c r="F978" s="14" t="n">
        <v>0</v>
      </c>
      <c r="G978" s="14">
        <f>F978-E978</f>
        <v/>
      </c>
      <c r="H978" s="7" t="n">
        <v>31.1</v>
      </c>
      <c r="I978" s="7">
        <f>G978*H978</f>
        <v/>
      </c>
      <c r="J978" s="16" t="inlineStr">
        <is>
          <t>لم يُجرد</t>
        </is>
      </c>
      <c r="K978" s="14" t="n">
        <v>0</v>
      </c>
      <c r="L978" s="14" t="n">
        <v>3</v>
      </c>
      <c r="M978" s="5" t="inlineStr"/>
      <c r="N978" s="5" t="inlineStr"/>
    </row>
    <row r="979">
      <c r="A979" s="13" t="inlineStr">
        <is>
          <t>0005486</t>
        </is>
      </c>
      <c r="B979" s="5" t="inlineStr">
        <is>
          <t>[0005486] NEODEX EYE/EAR DROPS</t>
        </is>
      </c>
      <c r="C979" s="5" t="inlineStr">
        <is>
          <t>دواء</t>
        </is>
      </c>
      <c r="D979" s="13" t="inlineStr">
        <is>
          <t>06251151001376</t>
        </is>
      </c>
      <c r="E979" s="14">
        <f>L979-K979</f>
        <v/>
      </c>
      <c r="F979" s="14" t="n">
        <v>0</v>
      </c>
      <c r="G979" s="14">
        <f>F979-E979</f>
        <v/>
      </c>
      <c r="H979" s="7" t="n">
        <v>10.5</v>
      </c>
      <c r="I979" s="7">
        <f>G979*H979</f>
        <v/>
      </c>
      <c r="J979" s="16" t="inlineStr">
        <is>
          <t>لم يُجرد</t>
        </is>
      </c>
      <c r="K979" s="14" t="n">
        <v>0</v>
      </c>
      <c r="L979" s="14" t="n">
        <v>9</v>
      </c>
      <c r="M979" s="5" t="inlineStr"/>
      <c r="N979" s="5" t="inlineStr"/>
    </row>
    <row r="980">
      <c r="A980" s="13" t="inlineStr">
        <is>
          <t>00038084</t>
        </is>
      </c>
      <c r="B980" s="5" t="inlineStr">
        <is>
          <t>[00038084] CONESTAL 1MG 28 TAB</t>
        </is>
      </c>
      <c r="C980" s="5" t="inlineStr">
        <is>
          <t>دواء</t>
        </is>
      </c>
      <c r="D980" s="13" t="inlineStr"/>
      <c r="E980" s="14">
        <f>L980-K980</f>
        <v/>
      </c>
      <c r="F980" s="14" t="n">
        <v>0</v>
      </c>
      <c r="G980" s="14">
        <f>F980-E980</f>
        <v/>
      </c>
      <c r="H980" s="7" t="n">
        <v>85.3</v>
      </c>
      <c r="I980" s="7">
        <f>G980*H980</f>
        <v/>
      </c>
      <c r="J980" s="16" t="inlineStr">
        <is>
          <t>لم يُجرد</t>
        </is>
      </c>
      <c r="K980" s="14" t="n">
        <v>0</v>
      </c>
      <c r="L980" s="14" t="n">
        <v>1</v>
      </c>
      <c r="M980" s="5" t="inlineStr"/>
      <c r="N980" s="5" t="inlineStr"/>
    </row>
    <row r="981">
      <c r="A981" s="13" t="inlineStr">
        <is>
          <t>00014547</t>
        </is>
      </c>
      <c r="B981" s="5" t="inlineStr">
        <is>
          <t>[00014547] PIXL GLOW TONIC 100 ML</t>
        </is>
      </c>
      <c r="C981" s="5" t="inlineStr">
        <is>
          <t>دواء</t>
        </is>
      </c>
      <c r="D981" s="13" t="inlineStr">
        <is>
          <t>885190821020</t>
        </is>
      </c>
      <c r="E981" s="14">
        <f>L981-K981</f>
        <v/>
      </c>
      <c r="F981" s="14" t="n">
        <v>0</v>
      </c>
      <c r="G981" s="14">
        <f>F981-E981</f>
        <v/>
      </c>
      <c r="H981" s="7" t="n">
        <v>49</v>
      </c>
      <c r="I981" s="7">
        <f>G981*H981</f>
        <v/>
      </c>
      <c r="J981" s="16" t="inlineStr">
        <is>
          <t>لم يُجرد</t>
        </is>
      </c>
      <c r="K981" s="14" t="n">
        <v>0</v>
      </c>
      <c r="L981" s="14" t="n">
        <v>2</v>
      </c>
      <c r="M981" s="5" t="inlineStr"/>
      <c r="N981" s="5" t="inlineStr"/>
    </row>
    <row r="982">
      <c r="A982" s="13" t="inlineStr">
        <is>
          <t>0004153</t>
        </is>
      </c>
      <c r="B982" s="5" t="inlineStr">
        <is>
          <t>[0004153] CYCLOGEST 400MG VAG SUPP****</t>
        </is>
      </c>
      <c r="C982" s="5" t="inlineStr">
        <is>
          <t>دواء</t>
        </is>
      </c>
      <c r="D982" s="13" t="inlineStr"/>
      <c r="E982" s="14">
        <f>L982-K982</f>
        <v/>
      </c>
      <c r="F982" s="14" t="n">
        <v>0</v>
      </c>
      <c r="G982" s="14">
        <f>F982-E982</f>
        <v/>
      </c>
      <c r="H982" s="7" t="n">
        <v>87.65000000000001</v>
      </c>
      <c r="I982" s="7">
        <f>G982*H982</f>
        <v/>
      </c>
      <c r="J982" s="16" t="inlineStr">
        <is>
          <t>لم يُجرد</t>
        </is>
      </c>
      <c r="K982" s="14" t="n">
        <v>0</v>
      </c>
      <c r="L982" s="14" t="n">
        <v>1</v>
      </c>
      <c r="M982" s="5" t="inlineStr"/>
      <c r="N982" s="5" t="inlineStr"/>
    </row>
    <row r="983">
      <c r="A983" s="13" t="inlineStr">
        <is>
          <t>0004156</t>
        </is>
      </c>
      <c r="B983" s="5" t="inlineStr">
        <is>
          <t>[0004156] CYTAROSE LIQUID 250 ML</t>
        </is>
      </c>
      <c r="C983" s="5" t="inlineStr">
        <is>
          <t>دواء</t>
        </is>
      </c>
      <c r="D983" s="13" t="inlineStr">
        <is>
          <t>6281147000076</t>
        </is>
      </c>
      <c r="E983" s="14">
        <f>L983-K983</f>
        <v/>
      </c>
      <c r="F983" s="14" t="n">
        <v>0</v>
      </c>
      <c r="G983" s="14">
        <f>F983-E983</f>
        <v/>
      </c>
      <c r="H983" s="7" t="n">
        <v>85</v>
      </c>
      <c r="I983" s="7">
        <f>G983*H983</f>
        <v/>
      </c>
      <c r="J983" s="16" t="inlineStr">
        <is>
          <t>لم يُجرد</t>
        </is>
      </c>
      <c r="K983" s="14" t="n">
        <v>0</v>
      </c>
      <c r="L983" s="14" t="n">
        <v>1</v>
      </c>
      <c r="M983" s="5" t="inlineStr"/>
      <c r="N983" s="5" t="inlineStr"/>
    </row>
    <row r="984">
      <c r="A984" s="13" t="inlineStr">
        <is>
          <t>0003399</t>
        </is>
      </c>
      <c r="B984" s="5" t="inlineStr">
        <is>
          <t>[0003399] JAZOFEN 400MG 30 TAB</t>
        </is>
      </c>
      <c r="C984" s="5" t="inlineStr">
        <is>
          <t>دواء</t>
        </is>
      </c>
      <c r="D984" s="13" t="inlineStr">
        <is>
          <t>06285101000164</t>
        </is>
      </c>
      <c r="E984" s="14">
        <f>L984-K984</f>
        <v/>
      </c>
      <c r="F984" s="14" t="n">
        <v>0</v>
      </c>
      <c r="G984" s="14">
        <f>F984-E984</f>
        <v/>
      </c>
      <c r="H984" s="7" t="n">
        <v>12.65</v>
      </c>
      <c r="I984" s="7">
        <f>G984*H984</f>
        <v/>
      </c>
      <c r="J984" s="16" t="inlineStr">
        <is>
          <t>لم يُجرد</t>
        </is>
      </c>
      <c r="K984" s="14" t="n">
        <v>0</v>
      </c>
      <c r="L984" s="14" t="n">
        <v>7</v>
      </c>
      <c r="M984" s="5" t="inlineStr"/>
      <c r="N984" s="5" t="inlineStr"/>
    </row>
    <row r="985">
      <c r="A985" s="13" t="inlineStr">
        <is>
          <t>00025940</t>
        </is>
      </c>
      <c r="B985" s="5" t="inlineStr">
        <is>
          <t>[00025940] ACETA C LITE 1000MG 14SACH</t>
        </is>
      </c>
      <c r="C985" s="5" t="inlineStr">
        <is>
          <t>دواء</t>
        </is>
      </c>
      <c r="D985" s="13" t="inlineStr">
        <is>
          <t>037182670035</t>
        </is>
      </c>
      <c r="E985" s="14">
        <f>L985-K985</f>
        <v/>
      </c>
      <c r="F985" s="14" t="n">
        <v>0</v>
      </c>
      <c r="G985" s="14">
        <f>F985-E985</f>
        <v/>
      </c>
      <c r="H985" s="7" t="n">
        <v>90</v>
      </c>
      <c r="I985" s="7">
        <f>G985*H985</f>
        <v/>
      </c>
      <c r="J985" s="16" t="inlineStr">
        <is>
          <t>لم يُجرد</t>
        </is>
      </c>
      <c r="K985" s="14" t="n">
        <v>0</v>
      </c>
      <c r="L985" s="14" t="n">
        <v>2</v>
      </c>
      <c r="M985" s="5" t="inlineStr"/>
      <c r="N985" s="5" t="inlineStr"/>
    </row>
    <row r="986">
      <c r="A986" s="13" t="inlineStr">
        <is>
          <t>00045995</t>
        </is>
      </c>
      <c r="B986" s="5" t="inlineStr">
        <is>
          <t>[00045995] FEROSOM FORTE 60 GUMMIES 2688</t>
        </is>
      </c>
      <c r="C986" s="5" t="inlineStr">
        <is>
          <t>دواء</t>
        </is>
      </c>
      <c r="D986" s="13" t="inlineStr">
        <is>
          <t>0628055192688</t>
        </is>
      </c>
      <c r="E986" s="14">
        <f>L986-K986</f>
        <v/>
      </c>
      <c r="F986" s="14" t="n">
        <v>0</v>
      </c>
      <c r="G986" s="14">
        <f>F986-E986</f>
        <v/>
      </c>
      <c r="H986" s="7" t="n">
        <v>120</v>
      </c>
      <c r="I986" s="7">
        <f>G986*H986</f>
        <v/>
      </c>
      <c r="J986" s="16" t="inlineStr">
        <is>
          <t>لم يُجرد</t>
        </is>
      </c>
      <c r="K986" s="14" t="n">
        <v>0</v>
      </c>
      <c r="L986" s="14" t="n">
        <v>2</v>
      </c>
      <c r="M986" s="5" t="inlineStr"/>
      <c r="N986" s="5" t="inlineStr"/>
    </row>
    <row r="987">
      <c r="A987" s="13" t="inlineStr">
        <is>
          <t>00036515</t>
        </is>
      </c>
      <c r="B987" s="5" t="inlineStr">
        <is>
          <t>[00036515] DICOFLOR 60 10CAP 0951</t>
        </is>
      </c>
      <c r="C987" s="5" t="inlineStr">
        <is>
          <t>دواء</t>
        </is>
      </c>
      <c r="D987" s="13" t="inlineStr">
        <is>
          <t>8033300190951</t>
        </is>
      </c>
      <c r="E987" s="14">
        <f>L987-K987</f>
        <v/>
      </c>
      <c r="F987" s="14" t="n">
        <v>0</v>
      </c>
      <c r="G987" s="14">
        <f>F987-E987</f>
        <v/>
      </c>
      <c r="H987" s="7" t="n">
        <v>82</v>
      </c>
      <c r="I987" s="7">
        <f>G987*H987</f>
        <v/>
      </c>
      <c r="J987" s="16" t="inlineStr">
        <is>
          <t>لم يُجرد</t>
        </is>
      </c>
      <c r="K987" s="14" t="n">
        <v>0</v>
      </c>
      <c r="L987" s="14" t="n">
        <v>2</v>
      </c>
      <c r="M987" s="5" t="inlineStr"/>
      <c r="N987" s="5" t="inlineStr"/>
    </row>
    <row r="988">
      <c r="A988" s="13" t="inlineStr">
        <is>
          <t>0003846</t>
        </is>
      </c>
      <c r="B988" s="5" t="inlineStr">
        <is>
          <t>[0003846] EZOLVIN 8MG TAB</t>
        </is>
      </c>
      <c r="C988" s="5" t="inlineStr">
        <is>
          <t>دواء</t>
        </is>
      </c>
      <c r="D988" s="13" t="inlineStr">
        <is>
          <t>01062850850015461719</t>
        </is>
      </c>
      <c r="E988" s="14">
        <f>L988-K988</f>
        <v/>
      </c>
      <c r="F988" s="14" t="n">
        <v>0</v>
      </c>
      <c r="G988" s="14">
        <f>F988-E988</f>
        <v/>
      </c>
      <c r="H988" s="7" t="n">
        <v>8.85</v>
      </c>
      <c r="I988" s="7">
        <f>G988*H988</f>
        <v/>
      </c>
      <c r="J988" s="16" t="inlineStr">
        <is>
          <t>لم يُجرد</t>
        </is>
      </c>
      <c r="K988" s="14" t="n">
        <v>0</v>
      </c>
      <c r="L988" s="14" t="n">
        <v>10</v>
      </c>
      <c r="M988" s="5" t="inlineStr"/>
      <c r="N988" s="5" t="inlineStr"/>
    </row>
    <row r="989">
      <c r="A989" s="13" t="inlineStr">
        <is>
          <t>0004431</t>
        </is>
      </c>
      <c r="B989" s="5" t="inlineStr">
        <is>
          <t>[0004431] BETASEPT VAGINAL D. 130ML WASFA</t>
        </is>
      </c>
      <c r="C989" s="5" t="inlineStr">
        <is>
          <t>دواء</t>
        </is>
      </c>
      <c r="D989" s="13" t="inlineStr">
        <is>
          <t>06285128003292</t>
        </is>
      </c>
      <c r="E989" s="14">
        <f>L989-K989</f>
        <v/>
      </c>
      <c r="F989" s="14" t="n">
        <v>0</v>
      </c>
      <c r="G989" s="14">
        <f>F989-E989</f>
        <v/>
      </c>
      <c r="H989" s="7" t="n">
        <v>33</v>
      </c>
      <c r="I989" s="7">
        <f>G989*H989</f>
        <v/>
      </c>
      <c r="J989" s="16" t="inlineStr">
        <is>
          <t>لم يُجرد</t>
        </is>
      </c>
      <c r="K989" s="14" t="n">
        <v>0</v>
      </c>
      <c r="L989" s="14" t="n">
        <v>6</v>
      </c>
      <c r="M989" s="5" t="inlineStr"/>
      <c r="N989" s="5" t="inlineStr"/>
    </row>
    <row r="990">
      <c r="A990" s="13" t="inlineStr">
        <is>
          <t>00018264</t>
        </is>
      </c>
      <c r="B990" s="5" t="inlineStr">
        <is>
          <t>[00018264] JULMENTIN ES 614.5 MG SUSP</t>
        </is>
      </c>
      <c r="C990" s="5" t="inlineStr">
        <is>
          <t>دواء</t>
        </is>
      </c>
      <c r="D990" s="13" t="inlineStr"/>
      <c r="E990" s="14">
        <f>L990-K990</f>
        <v/>
      </c>
      <c r="F990" s="14" t="n">
        <v>0</v>
      </c>
      <c r="G990" s="14">
        <f>F990-E990</f>
        <v/>
      </c>
      <c r="H990" s="7" t="n">
        <v>29.4</v>
      </c>
      <c r="I990" s="7">
        <f>G990*H990</f>
        <v/>
      </c>
      <c r="J990" s="16" t="inlineStr">
        <is>
          <t>لم يُجرد</t>
        </is>
      </c>
      <c r="K990" s="14" t="n">
        <v>0</v>
      </c>
      <c r="L990" s="14" t="n">
        <v>3</v>
      </c>
      <c r="M990" s="5" t="inlineStr"/>
      <c r="N990" s="5" t="inlineStr"/>
    </row>
    <row r="991">
      <c r="A991" s="13" t="inlineStr">
        <is>
          <t>0004069</t>
        </is>
      </c>
      <c r="B991" s="5" t="inlineStr">
        <is>
          <t>[0004069] CO APROVEL 150/12.5MG 28TAB</t>
        </is>
      </c>
      <c r="C991" s="5" t="inlineStr">
        <is>
          <t>دواء</t>
        </is>
      </c>
      <c r="D991" s="13" t="inlineStr"/>
      <c r="E991" s="14">
        <f>L991-K991</f>
        <v/>
      </c>
      <c r="F991" s="14" t="n">
        <v>0</v>
      </c>
      <c r="G991" s="14">
        <f>F991-E991</f>
        <v/>
      </c>
      <c r="H991" s="7" t="n">
        <v>63</v>
      </c>
      <c r="I991" s="7">
        <f>G991*H991</f>
        <v/>
      </c>
      <c r="J991" s="16" t="inlineStr">
        <is>
          <t>لم يُجرد</t>
        </is>
      </c>
      <c r="K991" s="14" t="n">
        <v>0</v>
      </c>
      <c r="L991" s="14" t="n">
        <v>2</v>
      </c>
      <c r="M991" s="5" t="inlineStr"/>
      <c r="N991" s="5" t="inlineStr"/>
    </row>
    <row r="992">
      <c r="A992" s="13" t="inlineStr">
        <is>
          <t>00012924</t>
        </is>
      </c>
      <c r="B992" s="5" t="inlineStr">
        <is>
          <t>[00012924] TRIPOFED EXPECT SYP</t>
        </is>
      </c>
      <c r="C992" s="5" t="inlineStr">
        <is>
          <t>دواء</t>
        </is>
      </c>
      <c r="D992" s="13" t="inlineStr">
        <is>
          <t>01062850850003581720</t>
        </is>
      </c>
      <c r="E992" s="14">
        <f>L992-K992</f>
        <v/>
      </c>
      <c r="F992" s="14" t="n">
        <v>0</v>
      </c>
      <c r="G992" s="14">
        <f>F992-E992</f>
        <v/>
      </c>
      <c r="H992" s="7" t="n">
        <v>6.1</v>
      </c>
      <c r="I992" s="7">
        <f>G992*H992</f>
        <v/>
      </c>
      <c r="J992" s="16" t="inlineStr">
        <is>
          <t>لم يُجرد</t>
        </is>
      </c>
      <c r="K992" s="14" t="n">
        <v>0</v>
      </c>
      <c r="L992" s="14" t="n">
        <v>13</v>
      </c>
      <c r="M992" s="5" t="inlineStr"/>
      <c r="N992" s="5" t="inlineStr"/>
    </row>
    <row r="993">
      <c r="A993" s="13" t="inlineStr">
        <is>
          <t>0003523</t>
        </is>
      </c>
      <c r="B993" s="5" t="inlineStr">
        <is>
          <t>[0003523] GYNO MIKOZAL 200MG VAG OVUL</t>
        </is>
      </c>
      <c r="C993" s="5" t="inlineStr">
        <is>
          <t>دواء</t>
        </is>
      </c>
      <c r="D993" s="13" t="inlineStr">
        <is>
          <t>01062911000800831721</t>
        </is>
      </c>
      <c r="E993" s="14">
        <f>L993-K993</f>
        <v/>
      </c>
      <c r="F993" s="14" t="n">
        <v>0</v>
      </c>
      <c r="G993" s="14">
        <f>F993-E993</f>
        <v/>
      </c>
      <c r="H993" s="7" t="n">
        <v>21.95</v>
      </c>
      <c r="I993" s="7">
        <f>G993*H993</f>
        <v/>
      </c>
      <c r="J993" s="16" t="inlineStr">
        <is>
          <t>لم يُجرد</t>
        </is>
      </c>
      <c r="K993" s="14" t="n">
        <v>0</v>
      </c>
      <c r="L993" s="14" t="n">
        <v>4</v>
      </c>
      <c r="M993" s="5" t="inlineStr"/>
      <c r="N993" s="5" t="inlineStr"/>
    </row>
    <row r="994">
      <c r="A994" s="13" t="inlineStr">
        <is>
          <t>00030165</t>
        </is>
      </c>
      <c r="B994" s="5" t="inlineStr">
        <is>
          <t>[00030165] كاندريل شوكلاتة الفقاعات السحرية بالحليب بدون سكر 4097</t>
        </is>
      </c>
      <c r="C994" s="5" t="inlineStr">
        <is>
          <t>دواء</t>
        </is>
      </c>
      <c r="D994" s="13" t="inlineStr">
        <is>
          <t>7640110704097</t>
        </is>
      </c>
      <c r="E994" s="14">
        <f>L994-K994</f>
        <v/>
      </c>
      <c r="F994" s="14" t="n">
        <v>0</v>
      </c>
      <c r="G994" s="14">
        <f>F994-E994</f>
        <v/>
      </c>
      <c r="H994" s="7" t="n">
        <v>17</v>
      </c>
      <c r="I994" s="7">
        <f>G994*H994</f>
        <v/>
      </c>
      <c r="J994" s="16" t="inlineStr">
        <is>
          <t>لم يُجرد</t>
        </is>
      </c>
      <c r="K994" s="14" t="n">
        <v>0</v>
      </c>
      <c r="L994" s="14" t="n">
        <v>5</v>
      </c>
      <c r="M994" s="5" t="inlineStr"/>
      <c r="N994" s="5" t="inlineStr"/>
    </row>
    <row r="995">
      <c r="A995" s="13" t="inlineStr">
        <is>
          <t>00032672</t>
        </is>
      </c>
      <c r="B995" s="5" t="inlineStr">
        <is>
          <t>[00032672] MEGAMIND F.OIL 30 CAP 7696</t>
        </is>
      </c>
      <c r="C995" s="5" t="inlineStr">
        <is>
          <t>دواء</t>
        </is>
      </c>
      <c r="D995" s="13" t="inlineStr">
        <is>
          <t>748515537696</t>
        </is>
      </c>
      <c r="E995" s="14">
        <f>L995-K995</f>
        <v/>
      </c>
      <c r="F995" s="14" t="n">
        <v>0</v>
      </c>
      <c r="G995" s="14">
        <f>F995-E995</f>
        <v/>
      </c>
      <c r="H995" s="7" t="n">
        <v>85</v>
      </c>
      <c r="I995" s="7">
        <f>G995*H995</f>
        <v/>
      </c>
      <c r="J995" s="16" t="inlineStr">
        <is>
          <t>لم يُجرد</t>
        </is>
      </c>
      <c r="K995" s="14" t="n">
        <v>0</v>
      </c>
      <c r="L995" s="14" t="n">
        <v>2</v>
      </c>
      <c r="M995" s="5" t="inlineStr"/>
      <c r="N995" s="5" t="inlineStr"/>
    </row>
    <row r="996">
      <c r="A996" s="13" t="inlineStr">
        <is>
          <t>00045918</t>
        </is>
      </c>
      <c r="B996" s="5" t="inlineStr">
        <is>
          <t>[00045918] ASHWAGNDA GOLD 60CAP 1022</t>
        </is>
      </c>
      <c r="C996" s="5" t="inlineStr">
        <is>
          <t>دواء</t>
        </is>
      </c>
      <c r="D996" s="13" t="inlineStr">
        <is>
          <t>765464631022</t>
        </is>
      </c>
      <c r="E996" s="14">
        <f>L996-K996</f>
        <v/>
      </c>
      <c r="F996" s="14" t="n">
        <v>0</v>
      </c>
      <c r="G996" s="14">
        <f>F996-E996</f>
        <v/>
      </c>
      <c r="H996" s="7" t="n">
        <v>170</v>
      </c>
      <c r="I996" s="7">
        <f>G996*H996</f>
        <v/>
      </c>
      <c r="J996" s="16" t="inlineStr">
        <is>
          <t>لم يُجرد</t>
        </is>
      </c>
      <c r="K996" s="14" t="n">
        <v>0</v>
      </c>
      <c r="L996" s="14" t="n">
        <v>1</v>
      </c>
      <c r="M996" s="5" t="inlineStr"/>
      <c r="N996" s="5" t="inlineStr"/>
    </row>
    <row r="997">
      <c r="A997" s="13" t="inlineStr">
        <is>
          <t>0004700</t>
        </is>
      </c>
      <c r="B997" s="5" t="inlineStr">
        <is>
          <t>[0004700] TOPRAZOLE 20MG 15TAB WASFA</t>
        </is>
      </c>
      <c r="C997" s="5" t="inlineStr">
        <is>
          <t>دواء</t>
        </is>
      </c>
      <c r="D997" s="13" t="inlineStr">
        <is>
          <t>06285147004867</t>
        </is>
      </c>
      <c r="E997" s="14">
        <f>L997-K997</f>
        <v/>
      </c>
      <c r="F997" s="14" t="n">
        <v>0</v>
      </c>
      <c r="G997" s="14">
        <f>F997-E997</f>
        <v/>
      </c>
      <c r="H997" s="7" t="n">
        <v>21.9</v>
      </c>
      <c r="I997" s="7">
        <f>G997*H997</f>
        <v/>
      </c>
      <c r="J997" s="16" t="inlineStr">
        <is>
          <t>لم يُجرد</t>
        </is>
      </c>
      <c r="K997" s="14" t="n">
        <v>0</v>
      </c>
      <c r="L997" s="14" t="n">
        <v>4</v>
      </c>
      <c r="M997" s="5" t="inlineStr"/>
      <c r="N997" s="5" t="inlineStr"/>
    </row>
    <row r="998">
      <c r="A998" s="13" t="inlineStr">
        <is>
          <t>00042939</t>
        </is>
      </c>
      <c r="B998" s="5" t="inlineStr">
        <is>
          <t>[00042939] AMOLAR 10 MG 28 CAP DAR AL DAWA</t>
        </is>
      </c>
      <c r="C998" s="5" t="inlineStr">
        <is>
          <t>دواء</t>
        </is>
      </c>
      <c r="D998" s="13" t="inlineStr">
        <is>
          <t>6251107426970</t>
        </is>
      </c>
      <c r="E998" s="14">
        <f>L998-K998</f>
        <v/>
      </c>
      <c r="F998" s="14" t="n">
        <v>0</v>
      </c>
      <c r="G998" s="14">
        <f>F998-E998</f>
        <v/>
      </c>
      <c r="H998" s="7" t="n">
        <v>29.15</v>
      </c>
      <c r="I998" s="7">
        <f>G998*H998</f>
        <v/>
      </c>
      <c r="J998" s="16" t="inlineStr">
        <is>
          <t>لم يُجرد</t>
        </is>
      </c>
      <c r="K998" s="14" t="n">
        <v>0</v>
      </c>
      <c r="L998" s="14" t="n">
        <v>3</v>
      </c>
      <c r="M998" s="5" t="inlineStr"/>
      <c r="N998" s="5" t="inlineStr"/>
    </row>
    <row r="999">
      <c r="A999" s="13" t="inlineStr">
        <is>
          <t>00034835</t>
        </is>
      </c>
      <c r="B999" s="5" t="inlineStr">
        <is>
          <t>[00034835] HAPPY GUMMY 90GUM</t>
        </is>
      </c>
      <c r="C999" s="5" t="inlineStr">
        <is>
          <t>دواء</t>
        </is>
      </c>
      <c r="D999" s="13" t="inlineStr">
        <is>
          <t>6939964024187</t>
        </is>
      </c>
      <c r="E999" s="14">
        <f>L999-K999</f>
        <v/>
      </c>
      <c r="F999" s="14" t="n">
        <v>0</v>
      </c>
      <c r="G999" s="14">
        <f>F999-E999</f>
        <v/>
      </c>
      <c r="H999" s="7" t="n">
        <v>54.75</v>
      </c>
      <c r="I999" s="7">
        <f>G999*H999</f>
        <v/>
      </c>
      <c r="J999" s="16" t="inlineStr">
        <is>
          <t>لم يُجرد</t>
        </is>
      </c>
      <c r="K999" s="14" t="n">
        <v>0</v>
      </c>
      <c r="L999" s="14" t="n">
        <v>2</v>
      </c>
      <c r="M999" s="5" t="inlineStr"/>
      <c r="N999" s="5" t="inlineStr"/>
    </row>
    <row r="1000">
      <c r="A1000" s="13" t="inlineStr">
        <is>
          <t>00044929</t>
        </is>
      </c>
      <c r="B1000" s="5" t="inlineStr">
        <is>
          <t>[00044929] NUTRO GUARD 3 PATCHES 9395</t>
        </is>
      </c>
      <c r="C1000" s="5" t="inlineStr">
        <is>
          <t>دواء</t>
        </is>
      </c>
      <c r="D1000" s="13" t="inlineStr">
        <is>
          <t>728633969395</t>
        </is>
      </c>
      <c r="E1000" s="14">
        <f>L1000-K1000</f>
        <v/>
      </c>
      <c r="F1000" s="14" t="n">
        <v>0</v>
      </c>
      <c r="G1000" s="14">
        <f>F1000-E1000</f>
        <v/>
      </c>
      <c r="H1000" s="7" t="n">
        <v>45</v>
      </c>
      <c r="I1000" s="7">
        <f>G1000*H1000</f>
        <v/>
      </c>
      <c r="J1000" s="16" t="inlineStr">
        <is>
          <t>لم يُجرد</t>
        </is>
      </c>
      <c r="K1000" s="14" t="n">
        <v>0</v>
      </c>
      <c r="L1000" s="14" t="n">
        <v>4</v>
      </c>
      <c r="M1000" s="5" t="inlineStr"/>
      <c r="N1000" s="5" t="inlineStr"/>
    </row>
    <row r="1001">
      <c r="A1001" s="13" t="inlineStr">
        <is>
          <t>00024701</t>
        </is>
      </c>
      <c r="B1001" s="5" t="inlineStr">
        <is>
          <t>[00024701] FEDLORA SYP 120ML</t>
        </is>
      </c>
      <c r="C1001" s="5" t="inlineStr">
        <is>
          <t>دواء</t>
        </is>
      </c>
      <c r="D1001" s="13" t="inlineStr"/>
      <c r="E1001" s="14">
        <f>L1001-K1001</f>
        <v/>
      </c>
      <c r="F1001" s="14" t="n">
        <v>0</v>
      </c>
      <c r="G1001" s="14">
        <f>F1001-E1001</f>
        <v/>
      </c>
      <c r="H1001" s="7" t="n">
        <v>17.35</v>
      </c>
      <c r="I1001" s="7">
        <f>G1001*H1001</f>
        <v/>
      </c>
      <c r="J1001" s="16" t="inlineStr">
        <is>
          <t>لم يُجرد</t>
        </is>
      </c>
      <c r="K1001" s="14" t="n">
        <v>0</v>
      </c>
      <c r="L1001" s="14" t="n">
        <v>5</v>
      </c>
      <c r="M1001" s="5" t="inlineStr"/>
      <c r="N1001" s="5" t="inlineStr"/>
    </row>
    <row r="1002">
      <c r="A1002" s="13" t="inlineStr">
        <is>
          <t>0005400</t>
        </is>
      </c>
      <c r="B1002" s="5" t="inlineStr">
        <is>
          <t>[0005400] OLMETEC 40 MG 28 TAB</t>
        </is>
      </c>
      <c r="C1002" s="5" t="inlineStr">
        <is>
          <t>دواء</t>
        </is>
      </c>
      <c r="D1002" s="13" t="inlineStr">
        <is>
          <t>01062850940002191720</t>
        </is>
      </c>
      <c r="E1002" s="14">
        <f>L1002-K1002</f>
        <v/>
      </c>
      <c r="F1002" s="14" t="n">
        <v>0</v>
      </c>
      <c r="G1002" s="14">
        <f>F1002-E1002</f>
        <v/>
      </c>
      <c r="H1002" s="7" t="n">
        <v>83.15000000000001</v>
      </c>
      <c r="I1002" s="7">
        <f>G1002*H1002</f>
        <v/>
      </c>
      <c r="J1002" s="16" t="inlineStr">
        <is>
          <t>لم يُجرد</t>
        </is>
      </c>
      <c r="K1002" s="14" t="n">
        <v>0</v>
      </c>
      <c r="L1002" s="14" t="n">
        <v>1</v>
      </c>
      <c r="M1002" s="5" t="inlineStr"/>
      <c r="N1002" s="5" t="inlineStr"/>
    </row>
    <row r="1003">
      <c r="A1003" s="13" t="inlineStr">
        <is>
          <t>0004095</t>
        </is>
      </c>
      <c r="B1003" s="5" t="inlineStr">
        <is>
          <t>[0004095] CLORACEF 375MG SUSP</t>
        </is>
      </c>
      <c r="C1003" s="5" t="inlineStr">
        <is>
          <t>دواء</t>
        </is>
      </c>
      <c r="D1003" s="13" t="inlineStr">
        <is>
          <t>6251107305015</t>
        </is>
      </c>
      <c r="E1003" s="14">
        <f>L1003-K1003</f>
        <v/>
      </c>
      <c r="F1003" s="14" t="n">
        <v>0</v>
      </c>
      <c r="G1003" s="14">
        <f>F1003-E1003</f>
        <v/>
      </c>
      <c r="H1003" s="7" t="n">
        <v>29.05</v>
      </c>
      <c r="I1003" s="7">
        <f>G1003*H1003</f>
        <v/>
      </c>
      <c r="J1003" s="16" t="inlineStr">
        <is>
          <t>لم يُجرد</t>
        </is>
      </c>
      <c r="K1003" s="14" t="n">
        <v>0</v>
      </c>
      <c r="L1003" s="14" t="n">
        <v>3</v>
      </c>
      <c r="M1003" s="5" t="inlineStr"/>
      <c r="N1003" s="5" t="inlineStr"/>
    </row>
    <row r="1004">
      <c r="A1004" s="13" t="inlineStr">
        <is>
          <t>00035051</t>
        </is>
      </c>
      <c r="B1004" s="5" t="inlineStr">
        <is>
          <t>[00035051] TEETHO MOUTH REFRESH GEL 30ML</t>
        </is>
      </c>
      <c r="C1004" s="5" t="inlineStr">
        <is>
          <t>دواء</t>
        </is>
      </c>
      <c r="D1004" s="13" t="inlineStr">
        <is>
          <t>6287002337585</t>
        </is>
      </c>
      <c r="E1004" s="14">
        <f>L1004-K1004</f>
        <v/>
      </c>
      <c r="F1004" s="14" t="n">
        <v>0</v>
      </c>
      <c r="G1004" s="14">
        <f>F1004-E1004</f>
        <v/>
      </c>
      <c r="H1004" s="7" t="n">
        <v>42</v>
      </c>
      <c r="I1004" s="7">
        <f>G1004*H1004</f>
        <v/>
      </c>
      <c r="J1004" s="16" t="inlineStr">
        <is>
          <t>لم يُجرد</t>
        </is>
      </c>
      <c r="K1004" s="14" t="n">
        <v>0</v>
      </c>
      <c r="L1004" s="14" t="n">
        <v>4</v>
      </c>
      <c r="M1004" s="5" t="inlineStr"/>
      <c r="N1004" s="5" t="inlineStr"/>
    </row>
    <row r="1005">
      <c r="A1005" s="13" t="inlineStr">
        <is>
          <t>0003310</t>
        </is>
      </c>
      <c r="B1005" s="5" t="inlineStr">
        <is>
          <t>[0003310] LAMISIL 1% SPRAY 30 ML- WASFATI</t>
        </is>
      </c>
      <c r="C1005" s="5" t="inlineStr">
        <is>
          <t>دواء</t>
        </is>
      </c>
      <c r="D1005" s="13" t="inlineStr">
        <is>
          <t>07311620013749</t>
        </is>
      </c>
      <c r="E1005" s="14">
        <f>L1005-K1005</f>
        <v/>
      </c>
      <c r="F1005" s="14" t="n">
        <v>0</v>
      </c>
      <c r="G1005" s="14">
        <f>F1005-E1005</f>
        <v/>
      </c>
      <c r="H1005" s="7" t="n">
        <v>43.2</v>
      </c>
      <c r="I1005" s="7">
        <f>G1005*H1005</f>
        <v/>
      </c>
      <c r="J1005" s="16" t="inlineStr">
        <is>
          <t>لم يُجرد</t>
        </is>
      </c>
      <c r="K1005" s="14" t="n">
        <v>0</v>
      </c>
      <c r="L1005" s="14" t="n">
        <v>2</v>
      </c>
      <c r="M1005" s="5" t="inlineStr"/>
      <c r="N1005" s="5" t="inlineStr"/>
    </row>
    <row r="1006">
      <c r="A1006" s="13" t="inlineStr">
        <is>
          <t>00047326</t>
        </is>
      </c>
      <c r="B1006" s="5" t="inlineStr">
        <is>
          <t>[00047326] NQ CALCIUM D3 90 TAB 9043</t>
        </is>
      </c>
      <c r="C1006" s="5" t="inlineStr">
        <is>
          <t>دواء</t>
        </is>
      </c>
      <c r="D1006" s="13" t="inlineStr">
        <is>
          <t>728633969043</t>
        </is>
      </c>
      <c r="E1006" s="14">
        <f>L1006-K1006</f>
        <v/>
      </c>
      <c r="F1006" s="14" t="n">
        <v>0</v>
      </c>
      <c r="G1006" s="14">
        <f>F1006-E1006</f>
        <v/>
      </c>
      <c r="H1006" s="7" t="n">
        <v>120</v>
      </c>
      <c r="I1006" s="7">
        <f>G1006*H1006</f>
        <v/>
      </c>
      <c r="J1006" s="16" t="inlineStr">
        <is>
          <t>لم يُجرد</t>
        </is>
      </c>
      <c r="K1006" s="14" t="n">
        <v>0</v>
      </c>
      <c r="L1006" s="14" t="n">
        <v>2</v>
      </c>
      <c r="M1006" s="5" t="inlineStr"/>
      <c r="N1006" s="5" t="inlineStr"/>
    </row>
    <row r="1007">
      <c r="A1007" s="13" t="inlineStr">
        <is>
          <t>00047581</t>
        </is>
      </c>
      <c r="B1007" s="5" t="inlineStr">
        <is>
          <t>[00047581] INNOVA LIFE CHELATED ZINC 30CAP 3973</t>
        </is>
      </c>
      <c r="C1007" s="5" t="inlineStr">
        <is>
          <t>دواء</t>
        </is>
      </c>
      <c r="D1007" s="13" t="inlineStr">
        <is>
          <t>6224011153973</t>
        </is>
      </c>
      <c r="E1007" s="14">
        <f>L1007-K1007</f>
        <v/>
      </c>
      <c r="F1007" s="14" t="n">
        <v>0</v>
      </c>
      <c r="G1007" s="14">
        <f>F1007-E1007</f>
        <v/>
      </c>
      <c r="H1007" s="7" t="n">
        <v>90</v>
      </c>
      <c r="I1007" s="7">
        <f>G1007*H1007</f>
        <v/>
      </c>
      <c r="J1007" s="16" t="inlineStr">
        <is>
          <t>لم يُجرد</t>
        </is>
      </c>
      <c r="K1007" s="14" t="n">
        <v>0</v>
      </c>
      <c r="L1007" s="14" t="n">
        <v>2</v>
      </c>
      <c r="M1007" s="5" t="inlineStr"/>
      <c r="N1007" s="5" t="inlineStr"/>
    </row>
    <row r="1008">
      <c r="A1008" s="13" t="inlineStr">
        <is>
          <t>0003461</t>
        </is>
      </c>
      <c r="B1008" s="5" t="inlineStr">
        <is>
          <t>[0003461] HYLO COMOD 01% EYE DROPS</t>
        </is>
      </c>
      <c r="C1008" s="5" t="inlineStr">
        <is>
          <t>دواء</t>
        </is>
      </c>
      <c r="D1008" s="13" t="inlineStr">
        <is>
          <t>4031626710369</t>
        </is>
      </c>
      <c r="E1008" s="14">
        <f>L1008-K1008</f>
        <v/>
      </c>
      <c r="F1008" s="14" t="n">
        <v>0</v>
      </c>
      <c r="G1008" s="14">
        <f>F1008-E1008</f>
        <v/>
      </c>
      <c r="H1008" s="7" t="n">
        <v>43.15</v>
      </c>
      <c r="I1008" s="7">
        <f>G1008*H1008</f>
        <v/>
      </c>
      <c r="J1008" s="16" t="inlineStr">
        <is>
          <t>لم يُجرد</t>
        </is>
      </c>
      <c r="K1008" s="14" t="n">
        <v>0</v>
      </c>
      <c r="L1008" s="14" t="n">
        <v>2</v>
      </c>
      <c r="M1008" s="5" t="inlineStr"/>
      <c r="N1008" s="5" t="inlineStr"/>
    </row>
    <row r="1009">
      <c r="A1009" s="13" t="inlineStr">
        <is>
          <t>00032108</t>
        </is>
      </c>
      <c r="B1009" s="5" t="inlineStr">
        <is>
          <t>[00032108] PROCTOLAR 10 SUPP</t>
        </is>
      </c>
      <c r="C1009" s="5" t="inlineStr">
        <is>
          <t>دواء</t>
        </is>
      </c>
      <c r="D1009" s="13" t="inlineStr">
        <is>
          <t>6286049000209</t>
        </is>
      </c>
      <c r="E1009" s="14">
        <f>L1009-K1009</f>
        <v/>
      </c>
      <c r="F1009" s="14" t="n">
        <v>0</v>
      </c>
      <c r="G1009" s="14">
        <f>F1009-E1009</f>
        <v/>
      </c>
      <c r="H1009" s="7" t="n">
        <v>75</v>
      </c>
      <c r="I1009" s="7">
        <f>G1009*H1009</f>
        <v/>
      </c>
      <c r="J1009" s="16" t="inlineStr">
        <is>
          <t>لم يُجرد</t>
        </is>
      </c>
      <c r="K1009" s="14" t="n">
        <v>0</v>
      </c>
      <c r="L1009" s="14" t="n">
        <v>2</v>
      </c>
      <c r="M1009" s="5" t="inlineStr"/>
      <c r="N1009" s="5" t="inlineStr"/>
    </row>
    <row r="1010">
      <c r="A1010" s="13" t="inlineStr">
        <is>
          <t>00020082</t>
        </is>
      </c>
      <c r="B1010" s="5" t="inlineStr">
        <is>
          <t>[00020082] CLEXAN 40 MG P.P.SYRING</t>
        </is>
      </c>
      <c r="C1010" s="5" t="inlineStr">
        <is>
          <t>دواء</t>
        </is>
      </c>
      <c r="D1010" s="13" t="inlineStr"/>
      <c r="E1010" s="14">
        <f>L1010-K1010</f>
        <v/>
      </c>
      <c r="F1010" s="14" t="n">
        <v>0</v>
      </c>
      <c r="G1010" s="14">
        <f>F1010-E1010</f>
        <v/>
      </c>
      <c r="H1010" s="7" t="n">
        <v>39.65</v>
      </c>
      <c r="I1010" s="7">
        <f>G1010*H1010</f>
        <v/>
      </c>
      <c r="J1010" s="16" t="inlineStr">
        <is>
          <t>لم يُجرد</t>
        </is>
      </c>
      <c r="K1010" s="14" t="n">
        <v>0</v>
      </c>
      <c r="L1010" s="14" t="n">
        <v>2</v>
      </c>
      <c r="M1010" s="5" t="inlineStr"/>
      <c r="N1010" s="5" t="inlineStr"/>
    </row>
    <row r="1011">
      <c r="A1011" s="13" t="inlineStr">
        <is>
          <t>00030844</t>
        </is>
      </c>
      <c r="B1011" s="5" t="inlineStr">
        <is>
          <t>[00030844] NOLPAZA 40MG 28TAB</t>
        </is>
      </c>
      <c r="C1011" s="5" t="inlineStr">
        <is>
          <t>دواء</t>
        </is>
      </c>
      <c r="D1011" s="13" t="inlineStr">
        <is>
          <t>3838989753436</t>
        </is>
      </c>
      <c r="E1011" s="14">
        <f>L1011-K1011</f>
        <v/>
      </c>
      <c r="F1011" s="14" t="n">
        <v>0</v>
      </c>
      <c r="G1011" s="14">
        <f>F1011-E1011</f>
        <v/>
      </c>
      <c r="H1011" s="7" t="n">
        <v>39.7</v>
      </c>
      <c r="I1011" s="7">
        <f>G1011*H1011</f>
        <v/>
      </c>
      <c r="J1011" s="16" t="inlineStr">
        <is>
          <t>لم يُجرد</t>
        </is>
      </c>
      <c r="K1011" s="14" t="n">
        <v>0</v>
      </c>
      <c r="L1011" s="14" t="n">
        <v>4</v>
      </c>
      <c r="M1011" s="5" t="inlineStr"/>
      <c r="N1011" s="5" t="inlineStr"/>
    </row>
    <row r="1012">
      <c r="A1012" s="13" t="inlineStr">
        <is>
          <t>0005588</t>
        </is>
      </c>
      <c r="B1012" s="5" t="inlineStr">
        <is>
          <t>[0005588] MYCOHEAL 400MG 3 VAG SUPP WASFA</t>
        </is>
      </c>
      <c r="C1012" s="5" t="inlineStr">
        <is>
          <t>دواء</t>
        </is>
      </c>
      <c r="D1012" s="13" t="inlineStr">
        <is>
          <t>06251107136015</t>
        </is>
      </c>
      <c r="E1012" s="14">
        <f>L1012-K1012</f>
        <v/>
      </c>
      <c r="F1012" s="14" t="n">
        <v>0</v>
      </c>
      <c r="G1012" s="14">
        <f>F1012-E1012</f>
        <v/>
      </c>
      <c r="H1012" s="7" t="n">
        <v>12.25</v>
      </c>
      <c r="I1012" s="7">
        <f>G1012*H1012</f>
        <v/>
      </c>
      <c r="J1012" s="16" t="inlineStr">
        <is>
          <t>لم يُجرد</t>
        </is>
      </c>
      <c r="K1012" s="14" t="n">
        <v>0</v>
      </c>
      <c r="L1012" s="14" t="n">
        <v>7</v>
      </c>
      <c r="M1012" s="5" t="inlineStr"/>
      <c r="N1012" s="5" t="inlineStr"/>
    </row>
    <row r="1013">
      <c r="A1013" s="13" t="inlineStr">
        <is>
          <t>0005311</t>
        </is>
      </c>
      <c r="B1013" s="5" t="inlineStr">
        <is>
          <t>[0005311] PANTOLOC 40MG 15TAB</t>
        </is>
      </c>
      <c r="C1013" s="5" t="inlineStr">
        <is>
          <t>دواء</t>
        </is>
      </c>
      <c r="D1013" s="13" t="inlineStr">
        <is>
          <t>06285104000093</t>
        </is>
      </c>
      <c r="E1013" s="14">
        <f>L1013-K1013</f>
        <v/>
      </c>
      <c r="F1013" s="14" t="n">
        <v>0</v>
      </c>
      <c r="G1013" s="14">
        <f>F1013-E1013</f>
        <v/>
      </c>
      <c r="H1013" s="7" t="n">
        <v>28.5</v>
      </c>
      <c r="I1013" s="7">
        <f>G1013*H1013</f>
        <v/>
      </c>
      <c r="J1013" s="16" t="inlineStr">
        <is>
          <t>لم يُجرد</t>
        </is>
      </c>
      <c r="K1013" s="14" t="n">
        <v>0</v>
      </c>
      <c r="L1013" s="14" t="n">
        <v>3</v>
      </c>
      <c r="M1013" s="5" t="inlineStr"/>
      <c r="N1013" s="5" t="inlineStr"/>
    </row>
    <row r="1014">
      <c r="A1014" s="13" t="inlineStr">
        <is>
          <t>00014958</t>
        </is>
      </c>
      <c r="B1014" s="5" t="inlineStr">
        <is>
          <t>[00014958] DOROFEN 500MG 90 CAP</t>
        </is>
      </c>
      <c r="C1014" s="5" t="inlineStr">
        <is>
          <t>دواء</t>
        </is>
      </c>
      <c r="D1014" s="13" t="inlineStr">
        <is>
          <t>610644193121</t>
        </is>
      </c>
      <c r="E1014" s="14">
        <f>L1014-K1014</f>
        <v/>
      </c>
      <c r="F1014" s="14" t="n">
        <v>0</v>
      </c>
      <c r="G1014" s="14">
        <f>F1014-E1014</f>
        <v/>
      </c>
      <c r="H1014" s="7" t="n">
        <v>81.90000000000001</v>
      </c>
      <c r="I1014" s="7">
        <f>G1014*H1014</f>
        <v/>
      </c>
      <c r="J1014" s="16" t="inlineStr">
        <is>
          <t>لم يُجرد</t>
        </is>
      </c>
      <c r="K1014" s="14" t="n">
        <v>0</v>
      </c>
      <c r="L1014" s="14" t="n">
        <v>1</v>
      </c>
      <c r="M1014" s="5" t="inlineStr"/>
      <c r="N1014" s="5" t="inlineStr"/>
    </row>
    <row r="1015">
      <c r="A1015" s="13" t="inlineStr">
        <is>
          <t>0005852</t>
        </is>
      </c>
      <c r="B1015" s="5" t="inlineStr">
        <is>
          <t>[0005852] AVALON AVOCOM 01% 30GM OINT</t>
        </is>
      </c>
      <c r="C1015" s="5" t="inlineStr">
        <is>
          <t>دواء</t>
        </is>
      </c>
      <c r="D1015" s="13" t="inlineStr">
        <is>
          <t>06285095004605</t>
        </is>
      </c>
      <c r="E1015" s="14">
        <f>L1015-K1015</f>
        <v/>
      </c>
      <c r="F1015" s="14" t="n">
        <v>0</v>
      </c>
      <c r="G1015" s="14">
        <f>F1015-E1015</f>
        <v/>
      </c>
      <c r="H1015" s="7" t="n">
        <v>17.1</v>
      </c>
      <c r="I1015" s="7">
        <f>G1015*H1015</f>
        <v/>
      </c>
      <c r="J1015" s="16" t="inlineStr">
        <is>
          <t>لم يُجرد</t>
        </is>
      </c>
      <c r="K1015" s="14" t="n">
        <v>0</v>
      </c>
      <c r="L1015" s="14" t="n">
        <v>5</v>
      </c>
      <c r="M1015" s="5" t="inlineStr"/>
      <c r="N1015" s="5" t="inlineStr"/>
    </row>
    <row r="1016">
      <c r="A1016" s="13" t="inlineStr">
        <is>
          <t>00015609</t>
        </is>
      </c>
      <c r="B1016" s="5" t="inlineStr">
        <is>
          <t>[00015609] MOVE ON CREAM 250 GM 5265</t>
        </is>
      </c>
      <c r="C1016" s="5" t="inlineStr">
        <is>
          <t>دواء</t>
        </is>
      </c>
      <c r="D1016" s="13" t="inlineStr">
        <is>
          <t>8809328355265</t>
        </is>
      </c>
      <c r="E1016" s="14">
        <f>L1016-K1016</f>
        <v/>
      </c>
      <c r="F1016" s="14" t="n">
        <v>0</v>
      </c>
      <c r="G1016" s="14">
        <f>F1016-E1016</f>
        <v/>
      </c>
      <c r="H1016" s="7" t="n">
        <v>62</v>
      </c>
      <c r="I1016" s="7">
        <f>G1016*H1016</f>
        <v/>
      </c>
      <c r="J1016" s="16" t="inlineStr">
        <is>
          <t>لم يُجرد</t>
        </is>
      </c>
      <c r="K1016" s="14" t="n">
        <v>0</v>
      </c>
      <c r="L1016" s="14" t="n">
        <v>2</v>
      </c>
      <c r="M1016" s="5" t="inlineStr"/>
      <c r="N1016" s="5" t="inlineStr"/>
    </row>
    <row r="1017">
      <c r="A1017" s="13" t="inlineStr">
        <is>
          <t>00044934</t>
        </is>
      </c>
      <c r="B1017" s="5" t="inlineStr">
        <is>
          <t>[00044934] HYALONOSE FORTE N SPRAY 15ML 7580 NQ</t>
        </is>
      </c>
      <c r="C1017" s="5" t="inlineStr">
        <is>
          <t>دواء</t>
        </is>
      </c>
      <c r="D1017" s="13" t="inlineStr">
        <is>
          <t>0748515537580</t>
        </is>
      </c>
      <c r="E1017" s="14">
        <f>L1017-K1017</f>
        <v/>
      </c>
      <c r="F1017" s="14" t="n">
        <v>0</v>
      </c>
      <c r="G1017" s="14">
        <f>F1017-E1017</f>
        <v/>
      </c>
      <c r="H1017" s="7" t="n">
        <v>55</v>
      </c>
      <c r="I1017" s="7">
        <f>G1017*H1017</f>
        <v/>
      </c>
      <c r="J1017" s="16" t="inlineStr">
        <is>
          <t>لم يُجرد</t>
        </is>
      </c>
      <c r="K1017" s="14" t="n">
        <v>0</v>
      </c>
      <c r="L1017" s="14" t="n">
        <v>3</v>
      </c>
      <c r="M1017" s="5" t="inlineStr"/>
      <c r="N1017" s="5" t="inlineStr"/>
    </row>
    <row r="1018">
      <c r="A1018" s="13" t="inlineStr">
        <is>
          <t>0003974</t>
        </is>
      </c>
      <c r="B1018" s="5" t="inlineStr">
        <is>
          <t>[0003974] DIOVAN 160MG TAB28 S</t>
        </is>
      </c>
      <c r="C1018" s="5" t="inlineStr">
        <is>
          <t>دواء</t>
        </is>
      </c>
      <c r="D1018" s="13" t="inlineStr">
        <is>
          <t>07612797587935</t>
        </is>
      </c>
      <c r="E1018" s="14">
        <f>L1018-K1018</f>
        <v/>
      </c>
      <c r="F1018" s="14" t="n">
        <v>0</v>
      </c>
      <c r="G1018" s="14">
        <f>F1018-E1018</f>
        <v/>
      </c>
      <c r="H1018" s="7" t="n">
        <v>42.5</v>
      </c>
      <c r="I1018" s="7">
        <f>G1018*H1018</f>
        <v/>
      </c>
      <c r="J1018" s="16" t="inlineStr">
        <is>
          <t>لم يُجرد</t>
        </is>
      </c>
      <c r="K1018" s="14" t="n">
        <v>0</v>
      </c>
      <c r="L1018" s="14" t="n">
        <v>2</v>
      </c>
      <c r="M1018" s="5" t="inlineStr"/>
      <c r="N1018" s="5" t="inlineStr"/>
    </row>
    <row r="1019">
      <c r="A1019" s="13" t="inlineStr">
        <is>
          <t>0004071</t>
        </is>
      </c>
      <c r="B1019" s="5" t="inlineStr">
        <is>
          <t>[0004071] CO DIOVAN 160/25 TAB</t>
        </is>
      </c>
      <c r="C1019" s="5" t="inlineStr">
        <is>
          <t>دواء</t>
        </is>
      </c>
      <c r="D1019" s="13" t="inlineStr">
        <is>
          <t>07612791497834</t>
        </is>
      </c>
      <c r="E1019" s="14">
        <f>L1019-K1019</f>
        <v/>
      </c>
      <c r="F1019" s="14" t="n">
        <v>0</v>
      </c>
      <c r="G1019" s="14">
        <f>F1019-E1019</f>
        <v/>
      </c>
      <c r="H1019" s="7" t="n">
        <v>42.5</v>
      </c>
      <c r="I1019" s="7">
        <f>G1019*H1019</f>
        <v/>
      </c>
      <c r="J1019" s="16" t="inlineStr">
        <is>
          <t>لم يُجرد</t>
        </is>
      </c>
      <c r="K1019" s="14" t="n">
        <v>0</v>
      </c>
      <c r="L1019" s="14" t="n">
        <v>2</v>
      </c>
      <c r="M1019" s="5" t="inlineStr"/>
      <c r="N1019" s="5" t="inlineStr"/>
    </row>
    <row r="1020">
      <c r="A1020" s="13" t="inlineStr">
        <is>
          <t>0003731</t>
        </is>
      </c>
      <c r="B1020" s="5" t="inlineStr">
        <is>
          <t>[0003731] APICORT FORT EYE DROPS</t>
        </is>
      </c>
      <c r="C1020" s="5" t="inlineStr">
        <is>
          <t>دواء</t>
        </is>
      </c>
      <c r="D1020" s="13" t="inlineStr"/>
      <c r="E1020" s="14">
        <f>L1020-K1020</f>
        <v/>
      </c>
      <c r="F1020" s="14" t="n">
        <v>0</v>
      </c>
      <c r="G1020" s="14">
        <f>F1020-E1020</f>
        <v/>
      </c>
      <c r="H1020" s="7" t="n">
        <v>10.6</v>
      </c>
      <c r="I1020" s="7">
        <f>G1020*H1020</f>
        <v/>
      </c>
      <c r="J1020" s="16" t="inlineStr">
        <is>
          <t>لم يُجرد</t>
        </is>
      </c>
      <c r="K1020" s="14" t="n">
        <v>0</v>
      </c>
      <c r="L1020" s="14" t="n">
        <v>8</v>
      </c>
      <c r="M1020" s="5" t="inlineStr"/>
      <c r="N1020" s="5" t="inlineStr"/>
    </row>
    <row r="1021">
      <c r="A1021" s="13" t="inlineStr">
        <is>
          <t>00020352</t>
        </is>
      </c>
      <c r="B1021" s="5" t="inlineStr">
        <is>
          <t>[00020352] ALPHA LIGHT CREAM 75 ML</t>
        </is>
      </c>
      <c r="C1021" s="5" t="inlineStr">
        <is>
          <t>دواء</t>
        </is>
      </c>
      <c r="D1021" s="13" t="inlineStr">
        <is>
          <t>6287002334621</t>
        </is>
      </c>
      <c r="E1021" s="14">
        <f>L1021-K1021</f>
        <v/>
      </c>
      <c r="F1021" s="14" t="n">
        <v>0</v>
      </c>
      <c r="G1021" s="14">
        <f>F1021-E1021</f>
        <v/>
      </c>
      <c r="H1021" s="7" t="n">
        <v>88</v>
      </c>
      <c r="I1021" s="7">
        <f>G1021*H1021</f>
        <v/>
      </c>
      <c r="J1021" s="16" t="inlineStr">
        <is>
          <t>لم يُجرد</t>
        </is>
      </c>
      <c r="K1021" s="14" t="n">
        <v>0</v>
      </c>
      <c r="L1021" s="14" t="n">
        <v>2</v>
      </c>
      <c r="M1021" s="5" t="inlineStr"/>
      <c r="N1021" s="5" t="inlineStr"/>
    </row>
    <row r="1022">
      <c r="A1022" s="13" t="inlineStr">
        <is>
          <t>0004505</t>
        </is>
      </c>
      <c r="B1022" s="5" t="inlineStr">
        <is>
          <t>[0004505] ZELAX 20MG 30CAPS</t>
        </is>
      </c>
      <c r="C1022" s="5" t="inlineStr">
        <is>
          <t>دواء</t>
        </is>
      </c>
      <c r="D1022" s="13" t="inlineStr">
        <is>
          <t>01062515990008941719</t>
        </is>
      </c>
      <c r="E1022" s="14">
        <f>L1022-K1022</f>
        <v/>
      </c>
      <c r="F1022" s="14" t="n">
        <v>0</v>
      </c>
      <c r="G1022" s="14">
        <f>F1022-E1022</f>
        <v/>
      </c>
      <c r="H1022" s="7" t="n">
        <v>81.95</v>
      </c>
      <c r="I1022" s="7">
        <f>G1022*H1022</f>
        <v/>
      </c>
      <c r="J1022" s="16" t="inlineStr">
        <is>
          <t>لم يُجرد</t>
        </is>
      </c>
      <c r="K1022" s="14" t="n">
        <v>0</v>
      </c>
      <c r="L1022" s="14" t="n">
        <v>1</v>
      </c>
      <c r="M1022" s="5" t="inlineStr"/>
      <c r="N1022" s="5" t="inlineStr"/>
    </row>
    <row r="1023">
      <c r="A1023" s="13" t="inlineStr">
        <is>
          <t>0003341</t>
        </is>
      </c>
      <c r="B1023" s="5" t="inlineStr">
        <is>
          <t>[0003341] ARKO SENNA 45CAP</t>
        </is>
      </c>
      <c r="C1023" s="5" t="inlineStr">
        <is>
          <t>دواء</t>
        </is>
      </c>
      <c r="D1023" s="13" t="inlineStr">
        <is>
          <t>3578830110581</t>
        </is>
      </c>
      <c r="E1023" s="14">
        <f>L1023-K1023</f>
        <v/>
      </c>
      <c r="F1023" s="14" t="n">
        <v>0</v>
      </c>
      <c r="G1023" s="14">
        <f>F1023-E1023</f>
        <v/>
      </c>
      <c r="H1023" s="7" t="n">
        <v>39</v>
      </c>
      <c r="I1023" s="7">
        <f>G1023*H1023</f>
        <v/>
      </c>
      <c r="J1023" s="16" t="inlineStr">
        <is>
          <t>لم يُجرد</t>
        </is>
      </c>
      <c r="K1023" s="14" t="n">
        <v>0</v>
      </c>
      <c r="L1023" s="14" t="n">
        <v>3</v>
      </c>
      <c r="M1023" s="5" t="inlineStr"/>
      <c r="N1023" s="5" t="inlineStr"/>
    </row>
    <row r="1024">
      <c r="A1024" s="13" t="inlineStr">
        <is>
          <t>00044124</t>
        </is>
      </c>
      <c r="B1024" s="5" t="inlineStr">
        <is>
          <t>[00044124] PJUR 30 MED  5975PREMIUM GLIDE 30 ML</t>
        </is>
      </c>
      <c r="C1024" s="5" t="inlineStr">
        <is>
          <t>دواء</t>
        </is>
      </c>
      <c r="D1024" s="13" t="inlineStr">
        <is>
          <t>827160115975</t>
        </is>
      </c>
      <c r="E1024" s="14">
        <f>L1024-K1024</f>
        <v/>
      </c>
      <c r="F1024" s="14" t="n">
        <v>0</v>
      </c>
      <c r="G1024" s="14">
        <f>F1024-E1024</f>
        <v/>
      </c>
      <c r="H1024" s="7" t="n">
        <v>69</v>
      </c>
      <c r="I1024" s="7">
        <f>G1024*H1024</f>
        <v/>
      </c>
      <c r="J1024" s="16" t="inlineStr">
        <is>
          <t>لم يُجرد</t>
        </is>
      </c>
      <c r="K1024" s="14" t="n">
        <v>0</v>
      </c>
      <c r="L1024" s="14" t="n">
        <v>2</v>
      </c>
      <c r="M1024" s="5" t="inlineStr"/>
      <c r="N1024" s="5" t="inlineStr"/>
    </row>
    <row r="1025">
      <c r="A1025" s="13" t="inlineStr">
        <is>
          <t>0004383</t>
        </is>
      </c>
      <c r="B1025" s="5" t="inlineStr">
        <is>
          <t>[0004383] BUSCOPAN 10MG 20TAB******</t>
        </is>
      </c>
      <c r="C1025" s="5" t="inlineStr">
        <is>
          <t>دواء</t>
        </is>
      </c>
      <c r="D1025" s="13" t="inlineStr">
        <is>
          <t>36647980272110</t>
        </is>
      </c>
      <c r="E1025" s="14">
        <f>L1025-K1025</f>
        <v/>
      </c>
      <c r="F1025" s="14" t="n">
        <v>0</v>
      </c>
      <c r="G1025" s="14">
        <f>F1025-E1025</f>
        <v/>
      </c>
      <c r="H1025" s="7" t="n">
        <v>14</v>
      </c>
      <c r="I1025" s="7">
        <f>G1025*H1025</f>
        <v/>
      </c>
      <c r="J1025" s="16" t="inlineStr">
        <is>
          <t>لم يُجرد</t>
        </is>
      </c>
      <c r="K1025" s="14" t="n">
        <v>0</v>
      </c>
      <c r="L1025" s="14" t="n">
        <v>6</v>
      </c>
      <c r="M1025" s="5" t="inlineStr"/>
      <c r="N1025" s="5" t="inlineStr"/>
    </row>
    <row r="1026">
      <c r="A1026" s="13" t="inlineStr">
        <is>
          <t>0004120</t>
        </is>
      </c>
      <c r="B1026" s="5" t="inlineStr">
        <is>
          <t>[0004120] CONTRACTUBEX 20 GM OIN</t>
        </is>
      </c>
      <c r="C1026" s="5" t="inlineStr">
        <is>
          <t>دواء</t>
        </is>
      </c>
      <c r="D1026" s="13" t="inlineStr">
        <is>
          <t>04046222757809</t>
        </is>
      </c>
      <c r="E1026" s="14">
        <f>L1026-K1026</f>
        <v/>
      </c>
      <c r="F1026" s="14" t="n">
        <v>0</v>
      </c>
      <c r="G1026" s="14">
        <f>F1026-E1026</f>
        <v/>
      </c>
      <c r="H1026" s="7" t="n">
        <v>20.9</v>
      </c>
      <c r="I1026" s="7">
        <f>G1026*H1026</f>
        <v/>
      </c>
      <c r="J1026" s="16" t="inlineStr">
        <is>
          <t>لم يُجرد</t>
        </is>
      </c>
      <c r="K1026" s="14" t="n">
        <v>0</v>
      </c>
      <c r="L1026" s="14" t="n">
        <v>4</v>
      </c>
      <c r="M1026" s="5" t="inlineStr"/>
      <c r="N1026" s="5" t="inlineStr"/>
    </row>
    <row r="1027">
      <c r="A1027" s="13" t="inlineStr">
        <is>
          <t>0004308</t>
        </is>
      </c>
      <c r="B1027" s="5" t="inlineStr">
        <is>
          <t>[0004308] CECLOR 125 MG SUSPENSION 75 ML</t>
        </is>
      </c>
      <c r="C1027" s="5" t="inlineStr">
        <is>
          <t>دواء</t>
        </is>
      </c>
      <c r="D1027" s="13" t="inlineStr"/>
      <c r="E1027" s="14">
        <f>L1027-K1027</f>
        <v/>
      </c>
      <c r="F1027" s="14" t="n">
        <v>0</v>
      </c>
      <c r="G1027" s="14">
        <f>F1027-E1027</f>
        <v/>
      </c>
      <c r="H1027" s="7" t="n">
        <v>20.85</v>
      </c>
      <c r="I1027" s="7">
        <f>G1027*H1027</f>
        <v/>
      </c>
      <c r="J1027" s="16" t="inlineStr">
        <is>
          <t>لم يُجرد</t>
        </is>
      </c>
      <c r="K1027" s="14" t="n">
        <v>0</v>
      </c>
      <c r="L1027" s="14" t="n">
        <v>4</v>
      </c>
      <c r="M1027" s="5" t="inlineStr"/>
      <c r="N1027" s="5" t="inlineStr"/>
    </row>
    <row r="1028">
      <c r="A1028" s="13" t="inlineStr">
        <is>
          <t>00021088</t>
        </is>
      </c>
      <c r="B1028" s="5" t="inlineStr">
        <is>
          <t>[00021088] ZINCO C 24 EFFE TAB ULTRA</t>
        </is>
      </c>
      <c r="C1028" s="5" t="inlineStr">
        <is>
          <t>دواء</t>
        </is>
      </c>
      <c r="D1028" s="13" t="inlineStr">
        <is>
          <t>5906361115108</t>
        </is>
      </c>
      <c r="E1028" s="14">
        <f>L1028-K1028</f>
        <v/>
      </c>
      <c r="F1028" s="14" t="n">
        <v>0</v>
      </c>
      <c r="G1028" s="14">
        <f>F1028-E1028</f>
        <v/>
      </c>
      <c r="H1028" s="7" t="n">
        <v>35</v>
      </c>
      <c r="I1028" s="7">
        <f>G1028*H1028</f>
        <v/>
      </c>
      <c r="J1028" s="16" t="inlineStr">
        <is>
          <t>لم يُجرد</t>
        </is>
      </c>
      <c r="K1028" s="14" t="n">
        <v>0</v>
      </c>
      <c r="L1028" s="14" t="n">
        <v>6</v>
      </c>
      <c r="M1028" s="5" t="inlineStr"/>
      <c r="N1028" s="5" t="inlineStr"/>
    </row>
    <row r="1029">
      <c r="A1029" s="13" t="inlineStr">
        <is>
          <t>0004309</t>
        </is>
      </c>
      <c r="B1029" s="5" t="inlineStr">
        <is>
          <t>[0004309] CECLOR 250 MG SUSPENSION 75 ML</t>
        </is>
      </c>
      <c r="C1029" s="5" t="inlineStr">
        <is>
          <t>دواء</t>
        </is>
      </c>
      <c r="D1029" s="13" t="inlineStr">
        <is>
          <t>2110001180007d701419</t>
        </is>
      </c>
      <c r="E1029" s="14">
        <f>L1029-K1029</f>
        <v/>
      </c>
      <c r="F1029" s="14" t="n">
        <v>0</v>
      </c>
      <c r="G1029" s="14">
        <f>F1029-E1029</f>
        <v/>
      </c>
      <c r="H1029" s="7" t="n">
        <v>41.65</v>
      </c>
      <c r="I1029" s="7">
        <f>G1029*H1029</f>
        <v/>
      </c>
      <c r="J1029" s="16" t="inlineStr">
        <is>
          <t>لم يُجرد</t>
        </is>
      </c>
      <c r="K1029" s="14" t="n">
        <v>0</v>
      </c>
      <c r="L1029" s="14" t="n">
        <v>2</v>
      </c>
      <c r="M1029" s="5" t="inlineStr"/>
      <c r="N1029" s="5" t="inlineStr"/>
    </row>
    <row r="1030">
      <c r="A1030" s="13" t="inlineStr">
        <is>
          <t>00012929</t>
        </is>
      </c>
      <c r="B1030" s="5" t="inlineStr">
        <is>
          <t>[00012929] GLUCARE 850MG 60TAB</t>
        </is>
      </c>
      <c r="C1030" s="5" t="inlineStr">
        <is>
          <t>دواء</t>
        </is>
      </c>
      <c r="D1030" s="13" t="inlineStr">
        <is>
          <t>06285101000478</t>
        </is>
      </c>
      <c r="E1030" s="14">
        <f>L1030-K1030</f>
        <v/>
      </c>
      <c r="F1030" s="14" t="n">
        <v>0</v>
      </c>
      <c r="G1030" s="14">
        <f>F1030-E1030</f>
        <v/>
      </c>
      <c r="H1030" s="7" t="n">
        <v>27.75</v>
      </c>
      <c r="I1030" s="7">
        <f>G1030*H1030</f>
        <v/>
      </c>
      <c r="J1030" s="16" t="inlineStr">
        <is>
          <t>لم يُجرد</t>
        </is>
      </c>
      <c r="K1030" s="14" t="n">
        <v>0</v>
      </c>
      <c r="L1030" s="14" t="n">
        <v>3</v>
      </c>
      <c r="M1030" s="5" t="inlineStr"/>
      <c r="N1030" s="5" t="inlineStr"/>
    </row>
    <row r="1031">
      <c r="A1031" s="13" t="inlineStr">
        <is>
          <t>00012886</t>
        </is>
      </c>
      <c r="B1031" s="5" t="inlineStr">
        <is>
          <t>[00012886] DRAMYLIN ADULT SYP</t>
        </is>
      </c>
      <c r="C1031" s="5" t="inlineStr">
        <is>
          <t>دواء</t>
        </is>
      </c>
      <c r="D1031" s="13" t="inlineStr">
        <is>
          <t>01062850850003411721</t>
        </is>
      </c>
      <c r="E1031" s="14">
        <f>L1031-K1031</f>
        <v/>
      </c>
      <c r="F1031" s="14" t="n">
        <v>0</v>
      </c>
      <c r="G1031" s="14">
        <f>F1031-E1031</f>
        <v/>
      </c>
      <c r="H1031" s="7" t="n">
        <v>8.300000000000001</v>
      </c>
      <c r="I1031" s="7">
        <f>G1031*H1031</f>
        <v/>
      </c>
      <c r="J1031" s="16" t="inlineStr">
        <is>
          <t>لم يُجرد</t>
        </is>
      </c>
      <c r="K1031" s="14" t="n">
        <v>0</v>
      </c>
      <c r="L1031" s="14" t="n">
        <v>10</v>
      </c>
      <c r="M1031" s="5" t="inlineStr"/>
      <c r="N1031" s="5" t="inlineStr"/>
    </row>
    <row r="1032">
      <c r="A1032" s="13" t="inlineStr">
        <is>
          <t>00017466</t>
        </is>
      </c>
      <c r="B1032" s="5" t="inlineStr">
        <is>
          <t>[00017466] ELECTRORUSH APPLE 200ML</t>
        </is>
      </c>
      <c r="C1032" s="5" t="inlineStr">
        <is>
          <t>دواء</t>
        </is>
      </c>
      <c r="D1032" s="13" t="inlineStr">
        <is>
          <t>8908003746647</t>
        </is>
      </c>
      <c r="E1032" s="14">
        <f>L1032-K1032</f>
        <v/>
      </c>
      <c r="F1032" s="14" t="n">
        <v>0</v>
      </c>
      <c r="G1032" s="14">
        <f>F1032-E1032</f>
        <v/>
      </c>
      <c r="H1032" s="7" t="n">
        <v>14.9</v>
      </c>
      <c r="I1032" s="7">
        <f>G1032*H1032</f>
        <v/>
      </c>
      <c r="J1032" s="16" t="inlineStr">
        <is>
          <t>لم يُجرد</t>
        </is>
      </c>
      <c r="K1032" s="14" t="n">
        <v>0</v>
      </c>
      <c r="L1032" s="14" t="n">
        <v>5</v>
      </c>
      <c r="M1032" s="5" t="inlineStr"/>
      <c r="N1032" s="5" t="inlineStr"/>
    </row>
    <row r="1033">
      <c r="A1033" s="13" t="inlineStr">
        <is>
          <t>00046465</t>
        </is>
      </c>
      <c r="B1033" s="5" t="inlineStr">
        <is>
          <t>[00046465] AVALON A-DIGEST CAP</t>
        </is>
      </c>
      <c r="C1033" s="5" t="inlineStr">
        <is>
          <t>دواء</t>
        </is>
      </c>
      <c r="D1033" s="13" t="inlineStr">
        <is>
          <t>06285095001208</t>
        </is>
      </c>
      <c r="E1033" s="14">
        <f>L1033-K1033</f>
        <v/>
      </c>
      <c r="F1033" s="14" t="n">
        <v>0</v>
      </c>
      <c r="G1033" s="14">
        <f>F1033-E1033</f>
        <v/>
      </c>
      <c r="H1033" s="7" t="n">
        <v>85</v>
      </c>
      <c r="I1033" s="7">
        <f>G1033*H1033</f>
        <v/>
      </c>
      <c r="J1033" s="16" t="inlineStr">
        <is>
          <t>لم يُجرد</t>
        </is>
      </c>
      <c r="K1033" s="14" t="n">
        <v>0</v>
      </c>
      <c r="L1033" s="14" t="n">
        <v>2</v>
      </c>
      <c r="M1033" s="5" t="inlineStr"/>
      <c r="N1033" s="5" t="inlineStr"/>
    </row>
    <row r="1034">
      <c r="A1034" s="13" t="inlineStr">
        <is>
          <t>00032670</t>
        </is>
      </c>
      <c r="B1034" s="5" t="inlineStr">
        <is>
          <t>[00032670] GINKOFLEX 7665 30 CHEW TAB</t>
        </is>
      </c>
      <c r="C1034" s="5" t="inlineStr">
        <is>
          <t>دواء</t>
        </is>
      </c>
      <c r="D1034" s="13" t="inlineStr">
        <is>
          <t>748515537665</t>
        </is>
      </c>
      <c r="E1034" s="14">
        <f>L1034-K1034</f>
        <v/>
      </c>
      <c r="F1034" s="14" t="n">
        <v>0</v>
      </c>
      <c r="G1034" s="14">
        <f>F1034-E1034</f>
        <v/>
      </c>
      <c r="H1034" s="7" t="n">
        <v>80</v>
      </c>
      <c r="I1034" s="7">
        <f>G1034*H1034</f>
        <v/>
      </c>
      <c r="J1034" s="16" t="inlineStr">
        <is>
          <t>لم يُجرد</t>
        </is>
      </c>
      <c r="K1034" s="14" t="n">
        <v>0</v>
      </c>
      <c r="L1034" s="14" t="n">
        <v>2</v>
      </c>
      <c r="M1034" s="5" t="inlineStr"/>
      <c r="N1034" s="5" t="inlineStr"/>
    </row>
    <row r="1035">
      <c r="A1035" s="13" t="inlineStr">
        <is>
          <t>00048494</t>
        </is>
      </c>
      <c r="B1035" s="5" t="inlineStr">
        <is>
          <t>[00048494] MOTHERNEST ZINC 30 AS GLYCINATE 60 TAB 9377</t>
        </is>
      </c>
      <c r="C1035" s="5" t="inlineStr">
        <is>
          <t>دواء</t>
        </is>
      </c>
      <c r="D1035" s="13" t="inlineStr">
        <is>
          <t>9327155009377</t>
        </is>
      </c>
      <c r="E1035" s="14">
        <f>L1035-K1035</f>
        <v/>
      </c>
      <c r="F1035" s="14" t="n">
        <v>0</v>
      </c>
      <c r="G1035" s="14">
        <f>F1035-E1035</f>
        <v/>
      </c>
      <c r="H1035" s="7" t="n">
        <v>59</v>
      </c>
      <c r="I1035" s="7">
        <f>G1035*H1035</f>
        <v/>
      </c>
      <c r="J1035" s="16" t="inlineStr">
        <is>
          <t>لم يُجرد</t>
        </is>
      </c>
      <c r="K1035" s="14" t="n">
        <v>0</v>
      </c>
      <c r="L1035" s="14" t="n">
        <v>2</v>
      </c>
      <c r="M1035" s="5" t="inlineStr"/>
      <c r="N1035" s="5" t="inlineStr"/>
    </row>
    <row r="1036">
      <c r="A1036" s="13" t="inlineStr">
        <is>
          <t>0005204</t>
        </is>
      </c>
      <c r="B1036" s="5" t="inlineStr">
        <is>
          <t>[0005204] REPARIL 20MG 40TAB</t>
        </is>
      </c>
      <c r="C1036" s="5" t="inlineStr">
        <is>
          <t>دواء</t>
        </is>
      </c>
      <c r="D1036" s="13" t="inlineStr"/>
      <c r="E1036" s="14">
        <f>L1036-K1036</f>
        <v/>
      </c>
      <c r="F1036" s="14" t="n">
        <v>0</v>
      </c>
      <c r="G1036" s="14">
        <f>F1036-E1036</f>
        <v/>
      </c>
      <c r="H1036" s="7" t="n">
        <v>20.6</v>
      </c>
      <c r="I1036" s="7">
        <f>G1036*H1036</f>
        <v/>
      </c>
      <c r="J1036" s="16" t="inlineStr">
        <is>
          <t>لم يُجرد</t>
        </is>
      </c>
      <c r="K1036" s="14" t="n">
        <v>0</v>
      </c>
      <c r="L1036" s="14" t="n">
        <v>4</v>
      </c>
      <c r="M1036" s="5" t="inlineStr"/>
      <c r="N1036" s="5" t="inlineStr"/>
    </row>
    <row r="1037">
      <c r="A1037" s="13" t="inlineStr">
        <is>
          <t>00031898</t>
        </is>
      </c>
      <c r="B1037" s="5" t="inlineStr">
        <is>
          <t>[00031898] KROMAFINA 4MG ORAL SOLITION 50ML</t>
        </is>
      </c>
      <c r="C1037" s="5" t="inlineStr">
        <is>
          <t>دواء</t>
        </is>
      </c>
      <c r="D1037" s="13" t="inlineStr"/>
      <c r="E1037" s="14">
        <f>L1037-K1037</f>
        <v/>
      </c>
      <c r="F1037" s="14" t="n">
        <v>0</v>
      </c>
      <c r="G1037" s="14">
        <f>F1037-E1037</f>
        <v/>
      </c>
      <c r="H1037" s="7" t="n">
        <v>97.95</v>
      </c>
      <c r="I1037" s="7">
        <f>G1037*H1037</f>
        <v/>
      </c>
      <c r="J1037" s="16" t="inlineStr">
        <is>
          <t>لم يُجرد</t>
        </is>
      </c>
      <c r="K1037" s="14" t="n">
        <v>0</v>
      </c>
      <c r="L1037" s="14" t="n">
        <v>1</v>
      </c>
      <c r="M1037" s="5" t="inlineStr"/>
      <c r="N1037" s="5" t="inlineStr"/>
    </row>
    <row r="1038">
      <c r="A1038" s="13" t="inlineStr">
        <is>
          <t>00026809</t>
        </is>
      </c>
      <c r="B1038" s="5" t="inlineStr">
        <is>
          <t>[00026809] TUMEEZE 4% ORAL DROP. 30ML</t>
        </is>
      </c>
      <c r="C1038" s="5" t="inlineStr">
        <is>
          <t>دواء</t>
        </is>
      </c>
      <c r="D1038" s="13" t="inlineStr"/>
      <c r="E1038" s="14">
        <f>L1038-K1038</f>
        <v/>
      </c>
      <c r="F1038" s="14" t="n">
        <v>0</v>
      </c>
      <c r="G1038" s="14">
        <f>F1038-E1038</f>
        <v/>
      </c>
      <c r="H1038" s="7" t="n">
        <v>6.85</v>
      </c>
      <c r="I1038" s="7">
        <f>G1038*H1038</f>
        <v/>
      </c>
      <c r="J1038" s="16" t="inlineStr">
        <is>
          <t>لم يُجرد</t>
        </is>
      </c>
      <c r="K1038" s="14" t="n">
        <v>0</v>
      </c>
      <c r="L1038" s="14" t="n">
        <v>12</v>
      </c>
      <c r="M1038" s="5" t="inlineStr"/>
      <c r="N1038" s="5" t="inlineStr"/>
    </row>
    <row r="1039">
      <c r="A1039" s="13" t="inlineStr">
        <is>
          <t>00012850</t>
        </is>
      </c>
      <c r="B1039" s="5" t="inlineStr">
        <is>
          <t>[00012850] MONTEL 10 MG TAB</t>
        </is>
      </c>
      <c r="C1039" s="5" t="inlineStr">
        <is>
          <t>دواء</t>
        </is>
      </c>
      <c r="D1039" s="13" t="inlineStr">
        <is>
          <t>01062810860028271010</t>
        </is>
      </c>
      <c r="E1039" s="14">
        <f>L1039-K1039</f>
        <v/>
      </c>
      <c r="F1039" s="14" t="n">
        <v>0</v>
      </c>
      <c r="G1039" s="14">
        <f>F1039-E1039</f>
        <v/>
      </c>
      <c r="H1039" s="7" t="n">
        <v>79.40000000000001</v>
      </c>
      <c r="I1039" s="7">
        <f>G1039*H1039</f>
        <v/>
      </c>
      <c r="J1039" s="16" t="inlineStr">
        <is>
          <t>لم يُجرد</t>
        </is>
      </c>
      <c r="K1039" s="14" t="n">
        <v>0</v>
      </c>
      <c r="L1039" s="14" t="n">
        <v>1</v>
      </c>
      <c r="M1039" s="5" t="inlineStr"/>
      <c r="N1039" s="5" t="inlineStr"/>
    </row>
    <row r="1040">
      <c r="A1040" s="13" t="inlineStr">
        <is>
          <t>0005328</t>
        </is>
      </c>
      <c r="B1040" s="5" t="inlineStr">
        <is>
          <t>[0005328] PAROXAT 30MG 30TAB</t>
        </is>
      </c>
      <c r="C1040" s="5" t="inlineStr">
        <is>
          <t>دواء</t>
        </is>
      </c>
      <c r="D1040" s="13" t="inlineStr">
        <is>
          <t>6281086002469</t>
        </is>
      </c>
      <c r="E1040" s="14">
        <f>L1040-K1040</f>
        <v/>
      </c>
      <c r="F1040" s="14" t="n">
        <v>0</v>
      </c>
      <c r="G1040" s="14">
        <f>F1040-E1040</f>
        <v/>
      </c>
      <c r="H1040" s="7" t="n">
        <v>78.25</v>
      </c>
      <c r="I1040" s="7">
        <f>G1040*H1040</f>
        <v/>
      </c>
      <c r="J1040" s="16" t="inlineStr">
        <is>
          <t>لم يُجرد</t>
        </is>
      </c>
      <c r="K1040" s="14" t="n">
        <v>0</v>
      </c>
      <c r="L1040" s="14" t="n">
        <v>1</v>
      </c>
      <c r="M1040" s="5" t="inlineStr"/>
      <c r="N1040" s="5" t="inlineStr"/>
    </row>
    <row r="1041">
      <c r="A1041" s="13" t="inlineStr">
        <is>
          <t>00045107</t>
        </is>
      </c>
      <c r="B1041" s="5" t="inlineStr">
        <is>
          <t>[00045107] DANDI FREE ANTI DANRUFF SHAMPOO 120ML 8490</t>
        </is>
      </c>
      <c r="C1041" s="5" t="inlineStr">
        <is>
          <t>دواء</t>
        </is>
      </c>
      <c r="D1041" s="13" t="inlineStr">
        <is>
          <t>6287002338490</t>
        </is>
      </c>
      <c r="E1041" s="14">
        <f>L1041-K1041</f>
        <v/>
      </c>
      <c r="F1041" s="14" t="n">
        <v>0</v>
      </c>
      <c r="G1041" s="14">
        <f>F1041-E1041</f>
        <v/>
      </c>
      <c r="H1041" s="7" t="n">
        <v>42.5</v>
      </c>
      <c r="I1041" s="7">
        <f>G1041*H1041</f>
        <v/>
      </c>
      <c r="J1041" s="16" t="inlineStr">
        <is>
          <t>لم يُجرد</t>
        </is>
      </c>
      <c r="K1041" s="14" t="n">
        <v>0</v>
      </c>
      <c r="L1041" s="14" t="n">
        <v>4</v>
      </c>
      <c r="M1041" s="5" t="inlineStr"/>
      <c r="N1041" s="5" t="inlineStr"/>
    </row>
    <row r="1042">
      <c r="A1042" s="13" t="inlineStr">
        <is>
          <t>00027701</t>
        </is>
      </c>
      <c r="B1042" s="5" t="inlineStr">
        <is>
          <t>[00027701] LIPO ARAX 300MG 30CHEWABLE TAB</t>
        </is>
      </c>
      <c r="C1042" s="5" t="inlineStr">
        <is>
          <t>دواء</t>
        </is>
      </c>
      <c r="D1042" s="13" t="inlineStr">
        <is>
          <t>6224009868049</t>
        </is>
      </c>
      <c r="E1042" s="14">
        <f>L1042-K1042</f>
        <v/>
      </c>
      <c r="F1042" s="14" t="n">
        <v>0</v>
      </c>
      <c r="G1042" s="14">
        <f>F1042-E1042</f>
        <v/>
      </c>
      <c r="H1042" s="7" t="n">
        <v>79</v>
      </c>
      <c r="I1042" s="7">
        <f>G1042*H1042</f>
        <v/>
      </c>
      <c r="J1042" s="16" t="inlineStr">
        <is>
          <t>لم يُجرد</t>
        </is>
      </c>
      <c r="K1042" s="14" t="n">
        <v>0</v>
      </c>
      <c r="L1042" s="14" t="n">
        <v>2</v>
      </c>
      <c r="M1042" s="5" t="inlineStr"/>
      <c r="N1042" s="5" t="inlineStr"/>
    </row>
    <row r="1043">
      <c r="A1043" s="13" t="inlineStr">
        <is>
          <t>00019503</t>
        </is>
      </c>
      <c r="B1043" s="5" t="inlineStr">
        <is>
          <t>[00019503] EMANERA 40 MG 28CAP</t>
        </is>
      </c>
      <c r="C1043" s="5" t="inlineStr">
        <is>
          <t>دواء</t>
        </is>
      </c>
      <c r="D1043" s="13" t="inlineStr">
        <is>
          <t>3838989700096</t>
        </is>
      </c>
      <c r="E1043" s="14">
        <f>L1043-K1043</f>
        <v/>
      </c>
      <c r="F1043" s="14" t="n">
        <v>0</v>
      </c>
      <c r="G1043" s="14">
        <f>F1043-E1043</f>
        <v/>
      </c>
      <c r="H1043" s="7" t="n">
        <v>61.7</v>
      </c>
      <c r="I1043" s="7">
        <f>G1043*H1043</f>
        <v/>
      </c>
      <c r="J1043" s="16" t="inlineStr">
        <is>
          <t>لم يُجرد</t>
        </is>
      </c>
      <c r="K1043" s="14" t="n">
        <v>0</v>
      </c>
      <c r="L1043" s="14" t="n">
        <v>2</v>
      </c>
      <c r="M1043" s="5" t="inlineStr"/>
      <c r="N1043" s="5" t="inlineStr"/>
    </row>
    <row r="1044">
      <c r="A1044" s="13" t="inlineStr">
        <is>
          <t>0005499</t>
        </is>
      </c>
      <c r="B1044" s="5" t="inlineStr">
        <is>
          <t>[0005499] NEURO B 20TAB*****</t>
        </is>
      </c>
      <c r="C1044" s="5" t="inlineStr">
        <is>
          <t>دواء</t>
        </is>
      </c>
      <c r="D1044" s="13" t="inlineStr">
        <is>
          <t>01062851470027711722</t>
        </is>
      </c>
      <c r="E1044" s="14">
        <f>L1044-K1044</f>
        <v/>
      </c>
      <c r="F1044" s="14" t="n">
        <v>0</v>
      </c>
      <c r="G1044" s="14">
        <f>F1044-E1044</f>
        <v/>
      </c>
      <c r="H1044" s="7" t="n">
        <v>13.45</v>
      </c>
      <c r="I1044" s="7">
        <f>G1044*H1044</f>
        <v/>
      </c>
      <c r="J1044" s="16" t="inlineStr">
        <is>
          <t>لم يُجرد</t>
        </is>
      </c>
      <c r="K1044" s="14" t="n">
        <v>0</v>
      </c>
      <c r="L1044" s="14" t="n">
        <v>6</v>
      </c>
      <c r="M1044" s="5" t="inlineStr"/>
      <c r="N1044" s="5" t="inlineStr"/>
    </row>
    <row r="1045">
      <c r="A1045" s="13" t="inlineStr">
        <is>
          <t>0003704</t>
        </is>
      </c>
      <c r="B1045" s="5" t="inlineStr">
        <is>
          <t>[0003704] ANAZOL 200MG/5ML 120 ML SUSP</t>
        </is>
      </c>
      <c r="C1045" s="5" t="inlineStr">
        <is>
          <t>دواء</t>
        </is>
      </c>
      <c r="D1045" s="13" t="inlineStr">
        <is>
          <t>01062851010004611077</t>
        </is>
      </c>
      <c r="E1045" s="14">
        <f>L1045-K1045</f>
        <v/>
      </c>
      <c r="F1045" s="14" t="n">
        <v>0</v>
      </c>
      <c r="G1045" s="14">
        <f>F1045-E1045</f>
        <v/>
      </c>
      <c r="H1045" s="7" t="n">
        <v>10.05</v>
      </c>
      <c r="I1045" s="7">
        <f>G1045*H1045</f>
        <v/>
      </c>
      <c r="J1045" s="16" t="inlineStr">
        <is>
          <t>لم يُجرد</t>
        </is>
      </c>
      <c r="K1045" s="14" t="n">
        <v>0</v>
      </c>
      <c r="L1045" s="14" t="n">
        <v>8</v>
      </c>
      <c r="M1045" s="5" t="inlineStr"/>
      <c r="N1045" s="5" t="inlineStr"/>
    </row>
    <row r="1046">
      <c r="A1046" s="13" t="inlineStr">
        <is>
          <t>0005235</t>
        </is>
      </c>
      <c r="B1046" s="5" t="inlineStr">
        <is>
          <t>[0005235] PREMOSAN 20TAB</t>
        </is>
      </c>
      <c r="C1046" s="5" t="inlineStr">
        <is>
          <t>دواء</t>
        </is>
      </c>
      <c r="D1046" s="13" t="inlineStr">
        <is>
          <t>06291100088232</t>
        </is>
      </c>
      <c r="E1046" s="14">
        <f>L1046-K1046</f>
        <v/>
      </c>
      <c r="F1046" s="14" t="n">
        <v>0</v>
      </c>
      <c r="G1046" s="14">
        <f>F1046-E1046</f>
        <v/>
      </c>
      <c r="H1046" s="7" t="n">
        <v>6.7</v>
      </c>
      <c r="I1046" s="7">
        <f>G1046*H1046</f>
        <v/>
      </c>
      <c r="J1046" s="16" t="inlineStr">
        <is>
          <t>لم يُجرد</t>
        </is>
      </c>
      <c r="K1046" s="14" t="n">
        <v>0</v>
      </c>
      <c r="L1046" s="14" t="n">
        <v>12</v>
      </c>
      <c r="M1046" s="5" t="inlineStr"/>
      <c r="N1046" s="5" t="inlineStr"/>
    </row>
    <row r="1047">
      <c r="A1047" s="13" t="inlineStr">
        <is>
          <t>00014801</t>
        </is>
      </c>
      <c r="B1047" s="5" t="inlineStr">
        <is>
          <t>[00014801] STEVIANA SWEETENER 100 SACHETS 10220</t>
        </is>
      </c>
      <c r="C1047" s="5" t="inlineStr">
        <is>
          <t>دواء</t>
        </is>
      </c>
      <c r="D1047" s="13" t="inlineStr">
        <is>
          <t>5285000910220</t>
        </is>
      </c>
      <c r="E1047" s="14">
        <f>L1047-K1047</f>
        <v/>
      </c>
      <c r="F1047" s="14" t="n">
        <v>0</v>
      </c>
      <c r="G1047" s="14">
        <f>F1047-E1047</f>
        <v/>
      </c>
      <c r="H1047" s="7" t="n">
        <v>21</v>
      </c>
      <c r="I1047" s="7">
        <f>G1047*H1047</f>
        <v/>
      </c>
      <c r="J1047" s="16" t="inlineStr">
        <is>
          <t>لم يُجرد</t>
        </is>
      </c>
      <c r="K1047" s="14" t="n">
        <v>0</v>
      </c>
      <c r="L1047" s="14" t="n">
        <v>4</v>
      </c>
      <c r="M1047" s="5" t="inlineStr"/>
      <c r="N1047" s="5" t="inlineStr"/>
    </row>
    <row r="1048">
      <c r="A1048" s="13" t="inlineStr">
        <is>
          <t>00012896</t>
        </is>
      </c>
      <c r="B1048" s="5" t="inlineStr">
        <is>
          <t>[00012896] OPTIDEX-T DROP</t>
        </is>
      </c>
      <c r="C1048" s="5" t="inlineStr">
        <is>
          <t>دواء</t>
        </is>
      </c>
      <c r="D1048" s="13" t="inlineStr">
        <is>
          <t>010628512800066610WD</t>
        </is>
      </c>
      <c r="E1048" s="14">
        <f>L1048-K1048</f>
        <v/>
      </c>
      <c r="F1048" s="14" t="n">
        <v>0</v>
      </c>
      <c r="G1048" s="14">
        <f>F1048-E1048</f>
        <v/>
      </c>
      <c r="H1048" s="7" t="n">
        <v>19.95</v>
      </c>
      <c r="I1048" s="7">
        <f>G1048*H1048</f>
        <v/>
      </c>
      <c r="J1048" s="16" t="inlineStr">
        <is>
          <t>لم يُجرد</t>
        </is>
      </c>
      <c r="K1048" s="14" t="n">
        <v>0</v>
      </c>
      <c r="L1048" s="14" t="n">
        <v>4</v>
      </c>
      <c r="M1048" s="5" t="inlineStr"/>
      <c r="N1048" s="5" t="inlineStr"/>
    </row>
    <row r="1049">
      <c r="A1049" s="13" t="inlineStr">
        <is>
          <t>0003377</t>
        </is>
      </c>
      <c r="B1049" s="5" t="inlineStr">
        <is>
          <t>[0003377] ARKO PHYSIOTHERM NASAL SPRAY</t>
        </is>
      </c>
      <c r="C1049" s="5" t="inlineStr">
        <is>
          <t>دواء</t>
        </is>
      </c>
      <c r="D1049" s="13" t="inlineStr">
        <is>
          <t>3578830149260</t>
        </is>
      </c>
      <c r="E1049" s="14">
        <f>L1049-K1049</f>
        <v/>
      </c>
      <c r="F1049" s="14" t="n">
        <v>0</v>
      </c>
      <c r="G1049" s="14">
        <f>F1049-E1049</f>
        <v/>
      </c>
      <c r="H1049" s="7" t="n">
        <v>55</v>
      </c>
      <c r="I1049" s="7">
        <f>G1049*H1049</f>
        <v/>
      </c>
      <c r="J1049" s="16" t="inlineStr">
        <is>
          <t>لم يُجرد</t>
        </is>
      </c>
      <c r="K1049" s="14" t="n">
        <v>0</v>
      </c>
      <c r="L1049" s="14" t="n">
        <v>2</v>
      </c>
      <c r="M1049" s="5" t="inlineStr"/>
      <c r="N1049" s="5" t="inlineStr"/>
    </row>
    <row r="1050">
      <c r="A1050" s="13" t="inlineStr">
        <is>
          <t>0004333</t>
        </is>
      </c>
      <c r="B1050" s="5" t="inlineStr">
        <is>
          <t>[0004333] ACTOS 30MG 30TAB</t>
        </is>
      </c>
      <c r="C1050" s="5" t="inlineStr">
        <is>
          <t>دواء</t>
        </is>
      </c>
      <c r="D1050" s="13" t="inlineStr">
        <is>
          <t>06251159024605</t>
        </is>
      </c>
      <c r="E1050" s="14">
        <f>L1050-K1050</f>
        <v/>
      </c>
      <c r="F1050" s="14" t="n">
        <v>0</v>
      </c>
      <c r="G1050" s="14">
        <f>F1050-E1050</f>
        <v/>
      </c>
      <c r="H1050" s="7" t="n">
        <v>87.75</v>
      </c>
      <c r="I1050" s="7">
        <f>G1050*H1050</f>
        <v/>
      </c>
      <c r="J1050" s="16" t="inlineStr">
        <is>
          <t>لم يُجرد</t>
        </is>
      </c>
      <c r="K1050" s="14" t="n">
        <v>0</v>
      </c>
      <c r="L1050" s="14" t="n">
        <v>1</v>
      </c>
      <c r="M1050" s="5" t="inlineStr"/>
      <c r="N1050" s="5" t="inlineStr"/>
    </row>
    <row r="1051">
      <c r="A1051" s="13" t="inlineStr">
        <is>
          <t>0003574</t>
        </is>
      </c>
      <c r="B1051" s="5" t="inlineStr">
        <is>
          <t>[0003574] GLIM 1MG 30TAB</t>
        </is>
      </c>
      <c r="C1051" s="5" t="inlineStr">
        <is>
          <t>دواء</t>
        </is>
      </c>
      <c r="D1051" s="13" t="inlineStr">
        <is>
          <t>01062810860023221012</t>
        </is>
      </c>
      <c r="E1051" s="14">
        <f>L1051-K1051</f>
        <v/>
      </c>
      <c r="F1051" s="14" t="n">
        <v>0</v>
      </c>
      <c r="G1051" s="14">
        <f>F1051-E1051</f>
        <v/>
      </c>
      <c r="H1051" s="7" t="n">
        <v>19.75</v>
      </c>
      <c r="I1051" s="7">
        <f>G1051*H1051</f>
        <v/>
      </c>
      <c r="J1051" s="16" t="inlineStr">
        <is>
          <t>لم يُجرد</t>
        </is>
      </c>
      <c r="K1051" s="14" t="n">
        <v>0</v>
      </c>
      <c r="L1051" s="14" t="n">
        <v>4</v>
      </c>
      <c r="M1051" s="5" t="inlineStr"/>
      <c r="N1051" s="5" t="inlineStr"/>
    </row>
    <row r="1052">
      <c r="A1052" s="13" t="inlineStr">
        <is>
          <t>0003447</t>
        </is>
      </c>
      <c r="B1052" s="5" t="inlineStr">
        <is>
          <t>[0003447] IVARIN 10MG FILM COATED TABLET</t>
        </is>
      </c>
      <c r="C1052" s="5" t="inlineStr">
        <is>
          <t>دواء</t>
        </is>
      </c>
      <c r="D1052" s="13" t="inlineStr">
        <is>
          <t>6285147001798</t>
        </is>
      </c>
      <c r="E1052" s="14">
        <f>L1052-K1052</f>
        <v/>
      </c>
      <c r="F1052" s="14" t="n">
        <v>0</v>
      </c>
      <c r="G1052" s="14">
        <f>F1052-E1052</f>
        <v/>
      </c>
      <c r="H1052" s="7" t="n">
        <v>75.65000000000001</v>
      </c>
      <c r="I1052" s="7">
        <f>G1052*H1052</f>
        <v/>
      </c>
      <c r="J1052" s="16" t="inlineStr">
        <is>
          <t>لم يُجرد</t>
        </is>
      </c>
      <c r="K1052" s="14" t="n">
        <v>0</v>
      </c>
      <c r="L1052" s="14" t="n">
        <v>1</v>
      </c>
      <c r="M1052" s="5" t="inlineStr"/>
      <c r="N1052" s="5" t="inlineStr"/>
    </row>
    <row r="1053">
      <c r="A1053" s="13" t="inlineStr">
        <is>
          <t>00037930</t>
        </is>
      </c>
      <c r="B1053" s="5" t="inlineStr">
        <is>
          <t>[00037930] ROYAL JELLY PLUS GENSING 30CAP ULTRA</t>
        </is>
      </c>
      <c r="C1053" s="5" t="inlineStr">
        <is>
          <t>دواء</t>
        </is>
      </c>
      <c r="D1053" s="13" t="inlineStr"/>
      <c r="E1053" s="14">
        <f>L1053-K1053</f>
        <v/>
      </c>
      <c r="F1053" s="14" t="n">
        <v>0</v>
      </c>
      <c r="G1053" s="14">
        <f>F1053-E1053</f>
        <v/>
      </c>
      <c r="H1053" s="7" t="n">
        <v>195</v>
      </c>
      <c r="I1053" s="7">
        <f>G1053*H1053</f>
        <v/>
      </c>
      <c r="J1053" s="16" t="inlineStr">
        <is>
          <t>لم يُجرد</t>
        </is>
      </c>
      <c r="K1053" s="14" t="n">
        <v>0</v>
      </c>
      <c r="L1053" s="14" t="n">
        <v>1</v>
      </c>
      <c r="M1053" s="5" t="inlineStr"/>
      <c r="N1053" s="5" t="inlineStr"/>
    </row>
    <row r="1054">
      <c r="A1054" s="13" t="inlineStr">
        <is>
          <t>0003296</t>
        </is>
      </c>
      <c r="B1054" s="5" t="inlineStr">
        <is>
          <t>[0003296] CRESTOR 10MG 28TAB</t>
        </is>
      </c>
      <c r="C1054" s="5" t="inlineStr">
        <is>
          <t>دواء</t>
        </is>
      </c>
      <c r="D1054" s="13" t="inlineStr">
        <is>
          <t>05000456006385</t>
        </is>
      </c>
      <c r="E1054" s="14">
        <f>L1054-K1054</f>
        <v/>
      </c>
      <c r="F1054" s="14" t="n">
        <v>0</v>
      </c>
      <c r="G1054" s="14">
        <f>F1054-E1054</f>
        <v/>
      </c>
      <c r="H1054" s="7" t="n">
        <v>77.25</v>
      </c>
      <c r="I1054" s="7">
        <f>G1054*H1054</f>
        <v/>
      </c>
      <c r="J1054" s="16" t="inlineStr">
        <is>
          <t>لم يُجرد</t>
        </is>
      </c>
      <c r="K1054" s="14" t="n">
        <v>0</v>
      </c>
      <c r="L1054" s="14" t="n">
        <v>1</v>
      </c>
      <c r="M1054" s="5" t="inlineStr"/>
      <c r="N1054" s="5" t="inlineStr"/>
    </row>
    <row r="1055">
      <c r="A1055" s="13" t="inlineStr">
        <is>
          <t>00020463</t>
        </is>
      </c>
      <c r="B1055" s="5" t="inlineStr">
        <is>
          <t>[00020463] NEO PROKTO CREAM 30GM</t>
        </is>
      </c>
      <c r="C1055" s="5" t="inlineStr">
        <is>
          <t>دواء</t>
        </is>
      </c>
      <c r="D1055" s="13" t="inlineStr">
        <is>
          <t>6287017610048</t>
        </is>
      </c>
      <c r="E1055" s="14">
        <f>L1055-K1055</f>
        <v/>
      </c>
      <c r="F1055" s="14" t="n">
        <v>0</v>
      </c>
      <c r="G1055" s="14">
        <f>F1055-E1055</f>
        <v/>
      </c>
      <c r="H1055" s="7" t="n">
        <v>60</v>
      </c>
      <c r="I1055" s="7">
        <f>G1055*H1055</f>
        <v/>
      </c>
      <c r="J1055" s="16" t="inlineStr">
        <is>
          <t>لم يُجرد</t>
        </is>
      </c>
      <c r="K1055" s="14" t="n">
        <v>0</v>
      </c>
      <c r="L1055" s="14" t="n">
        <v>3</v>
      </c>
      <c r="M1055" s="5" t="inlineStr"/>
      <c r="N1055" s="5" t="inlineStr"/>
    </row>
    <row r="1056">
      <c r="A1056" s="13" t="inlineStr">
        <is>
          <t>00033541</t>
        </is>
      </c>
      <c r="B1056" s="5" t="inlineStr">
        <is>
          <t>[00033541] DUSPAMEN 200MG PR 30 CAP</t>
        </is>
      </c>
      <c r="C1056" s="5" t="inlineStr">
        <is>
          <t>دواء</t>
        </is>
      </c>
      <c r="D1056" s="13" t="inlineStr"/>
      <c r="E1056" s="14">
        <f>L1056-K1056</f>
        <v/>
      </c>
      <c r="F1056" s="14" t="n">
        <v>0</v>
      </c>
      <c r="G1056" s="14">
        <f>F1056-E1056</f>
        <v/>
      </c>
      <c r="H1056" s="7" t="n">
        <v>40.9</v>
      </c>
      <c r="I1056" s="7">
        <f>G1056*H1056</f>
        <v/>
      </c>
      <c r="J1056" s="16" t="inlineStr">
        <is>
          <t>لم يُجرد</t>
        </is>
      </c>
      <c r="K1056" s="14" t="n">
        <v>0</v>
      </c>
      <c r="L1056" s="14" t="n">
        <v>2</v>
      </c>
      <c r="M1056" s="5" t="inlineStr"/>
      <c r="N1056" s="5" t="inlineStr"/>
    </row>
    <row r="1057">
      <c r="A1057" s="13" t="inlineStr">
        <is>
          <t>0005175</t>
        </is>
      </c>
      <c r="B1057" s="5" t="inlineStr">
        <is>
          <t>[0005175] RAZON 40 MG 14 TAB</t>
        </is>
      </c>
      <c r="C1057" s="5" t="inlineStr">
        <is>
          <t>دواء</t>
        </is>
      </c>
      <c r="D1057" s="13" t="inlineStr">
        <is>
          <t>01062511541130141722</t>
        </is>
      </c>
      <c r="E1057" s="14">
        <f>L1057-K1057</f>
        <v/>
      </c>
      <c r="F1057" s="14" t="n">
        <v>0</v>
      </c>
      <c r="G1057" s="14">
        <f>F1057-E1057</f>
        <v/>
      </c>
      <c r="H1057" s="7" t="n">
        <v>35.15</v>
      </c>
      <c r="I1057" s="7">
        <f>G1057*H1057</f>
        <v/>
      </c>
      <c r="J1057" s="16" t="inlineStr">
        <is>
          <t>لم يُجرد</t>
        </is>
      </c>
      <c r="K1057" s="14" t="n">
        <v>0</v>
      </c>
      <c r="L1057" s="14" t="n">
        <v>4</v>
      </c>
      <c r="M1057" s="5" t="inlineStr"/>
      <c r="N1057" s="5" t="inlineStr"/>
    </row>
    <row r="1058">
      <c r="A1058" s="13" t="inlineStr">
        <is>
          <t>00037446</t>
        </is>
      </c>
      <c r="B1058" s="5" t="inlineStr">
        <is>
          <t>[00037446] PROPY EXPECTORANT 125ML SYRUP BEE HONEY</t>
        </is>
      </c>
      <c r="C1058" s="5" t="inlineStr">
        <is>
          <t>دواء</t>
        </is>
      </c>
      <c r="D1058" s="13" t="inlineStr">
        <is>
          <t>652143276998</t>
        </is>
      </c>
      <c r="E1058" s="14">
        <f>L1058-K1058</f>
        <v/>
      </c>
      <c r="F1058" s="14" t="n">
        <v>0</v>
      </c>
      <c r="G1058" s="14">
        <f>F1058-E1058</f>
        <v/>
      </c>
      <c r="H1058" s="7" t="n">
        <v>56.5</v>
      </c>
      <c r="I1058" s="7">
        <f>G1058*H1058</f>
        <v/>
      </c>
      <c r="J1058" s="16" t="inlineStr">
        <is>
          <t>لم يُجرد</t>
        </is>
      </c>
      <c r="K1058" s="14" t="n">
        <v>0</v>
      </c>
      <c r="L1058" s="14" t="n">
        <v>2</v>
      </c>
      <c r="M1058" s="5" t="inlineStr"/>
      <c r="N1058" s="5" t="inlineStr"/>
    </row>
    <row r="1059">
      <c r="A1059" s="13" t="inlineStr">
        <is>
          <t>0005191</t>
        </is>
      </c>
      <c r="B1059" s="5" t="inlineStr">
        <is>
          <t>[0005191] REMERON 30MG 30 TAB******</t>
        </is>
      </c>
      <c r="C1059" s="5" t="inlineStr">
        <is>
          <t>دواء</t>
        </is>
      </c>
      <c r="D1059" s="13" t="inlineStr">
        <is>
          <t>01062851930001651720</t>
        </is>
      </c>
      <c r="E1059" s="14">
        <f>L1059-K1059</f>
        <v/>
      </c>
      <c r="F1059" s="14" t="n">
        <v>0</v>
      </c>
      <c r="G1059" s="14">
        <f>F1059-E1059</f>
        <v/>
      </c>
      <c r="H1059" s="7" t="n">
        <v>78.40000000000001</v>
      </c>
      <c r="I1059" s="7">
        <f>G1059*H1059</f>
        <v/>
      </c>
      <c r="J1059" s="16" t="inlineStr">
        <is>
          <t>لم يُجرد</t>
        </is>
      </c>
      <c r="K1059" s="14" t="n">
        <v>0</v>
      </c>
      <c r="L1059" s="14" t="n">
        <v>1</v>
      </c>
      <c r="M1059" s="5" t="inlineStr"/>
      <c r="N1059" s="5" t="inlineStr"/>
    </row>
    <row r="1060">
      <c r="A1060" s="13" t="inlineStr">
        <is>
          <t>0004542</t>
        </is>
      </c>
      <c r="B1060" s="5" t="inlineStr">
        <is>
          <t>[0004542] ZOVIRAX 200 MG 25 TAB</t>
        </is>
      </c>
      <c r="C1060" s="5" t="inlineStr">
        <is>
          <t>دواء</t>
        </is>
      </c>
      <c r="D1060" s="13" t="inlineStr">
        <is>
          <t>06285097002159</t>
        </is>
      </c>
      <c r="E1060" s="14">
        <f>L1060-K1060</f>
        <v/>
      </c>
      <c r="F1060" s="14" t="n">
        <v>0</v>
      </c>
      <c r="G1060" s="14">
        <f>F1060-E1060</f>
        <v/>
      </c>
      <c r="H1060" s="7" t="n">
        <v>74.40000000000001</v>
      </c>
      <c r="I1060" s="7">
        <f>G1060*H1060</f>
        <v/>
      </c>
      <c r="J1060" s="16" t="inlineStr">
        <is>
          <t>لم يُجرد</t>
        </is>
      </c>
      <c r="K1060" s="14" t="n">
        <v>0</v>
      </c>
      <c r="L1060" s="14" t="n">
        <v>1</v>
      </c>
      <c r="M1060" s="5" t="inlineStr"/>
      <c r="N1060" s="5" t="inlineStr"/>
    </row>
    <row r="1061">
      <c r="A1061" s="13" t="inlineStr">
        <is>
          <t>0004652</t>
        </is>
      </c>
      <c r="B1061" s="5" t="inlineStr">
        <is>
          <t>[0004652] VOLTAREN EMULGEL 1% 100G</t>
        </is>
      </c>
      <c r="C1061" s="5" t="inlineStr">
        <is>
          <t>دواء</t>
        </is>
      </c>
      <c r="D1061" s="13" t="inlineStr">
        <is>
          <t>01076300354002971719</t>
        </is>
      </c>
      <c r="E1061" s="14">
        <f>L1061-K1061</f>
        <v/>
      </c>
      <c r="F1061" s="14" t="n">
        <v>0</v>
      </c>
      <c r="G1061" s="14">
        <f>F1061-E1061</f>
        <v/>
      </c>
      <c r="H1061" s="7" t="n">
        <v>26</v>
      </c>
      <c r="I1061" s="7">
        <f>G1061*H1061</f>
        <v/>
      </c>
      <c r="J1061" s="16" t="inlineStr">
        <is>
          <t>لم يُجرد</t>
        </is>
      </c>
      <c r="K1061" s="14" t="n">
        <v>0</v>
      </c>
      <c r="L1061" s="14" t="n">
        <v>3</v>
      </c>
      <c r="M1061" s="5" t="inlineStr"/>
      <c r="N1061" s="5" t="inlineStr"/>
    </row>
    <row r="1062">
      <c r="A1062" s="13" t="inlineStr">
        <is>
          <t>00037806</t>
        </is>
      </c>
      <c r="B1062" s="5" t="inlineStr">
        <is>
          <t>[00037806] CLARI SPRAY 15ML</t>
        </is>
      </c>
      <c r="C1062" s="5" t="inlineStr">
        <is>
          <t>دواء</t>
        </is>
      </c>
      <c r="D1062" s="13" t="inlineStr"/>
      <c r="E1062" s="14">
        <f>L1062-K1062</f>
        <v/>
      </c>
      <c r="F1062" s="14" t="n">
        <v>0</v>
      </c>
      <c r="G1062" s="14">
        <f>F1062-E1062</f>
        <v/>
      </c>
      <c r="H1062" s="7" t="n">
        <v>25.85</v>
      </c>
      <c r="I1062" s="7">
        <f>G1062*H1062</f>
        <v/>
      </c>
      <c r="J1062" s="16" t="inlineStr">
        <is>
          <t>لم يُجرد</t>
        </is>
      </c>
      <c r="K1062" s="14" t="n">
        <v>0</v>
      </c>
      <c r="L1062" s="14" t="n">
        <v>3</v>
      </c>
      <c r="M1062" s="5" t="inlineStr"/>
      <c r="N1062" s="5" t="inlineStr"/>
    </row>
    <row r="1063">
      <c r="A1063" s="13" t="inlineStr">
        <is>
          <t>00022515</t>
        </is>
      </c>
      <c r="B1063" s="5" t="inlineStr">
        <is>
          <t>[00022515] FERPLEX 40MG ORAL SOLUT. 15ML  20VIALS</t>
        </is>
      </c>
      <c r="C1063" s="5" t="inlineStr">
        <is>
          <t>دواء</t>
        </is>
      </c>
      <c r="D1063" s="13" t="inlineStr">
        <is>
          <t>8470007767732</t>
        </is>
      </c>
      <c r="E1063" s="14">
        <f>L1063-K1063</f>
        <v/>
      </c>
      <c r="F1063" s="14" t="n">
        <v>0</v>
      </c>
      <c r="G1063" s="14">
        <f>F1063-E1063</f>
        <v/>
      </c>
      <c r="H1063" s="7" t="n">
        <v>38.7</v>
      </c>
      <c r="I1063" s="7">
        <f>G1063*H1063</f>
        <v/>
      </c>
      <c r="J1063" s="16" t="inlineStr">
        <is>
          <t>لم يُجرد</t>
        </is>
      </c>
      <c r="K1063" s="14" t="n">
        <v>0</v>
      </c>
      <c r="L1063" s="14" t="n">
        <v>2</v>
      </c>
      <c r="M1063" s="5" t="inlineStr"/>
      <c r="N1063" s="5" t="inlineStr"/>
    </row>
    <row r="1064">
      <c r="A1064" s="13" t="inlineStr">
        <is>
          <t>00021663</t>
        </is>
      </c>
      <c r="B1064" s="5" t="inlineStr">
        <is>
          <t>[00021663] MOVA CID 600MG 30 CAP 8166</t>
        </is>
      </c>
      <c r="C1064" s="5" t="inlineStr">
        <is>
          <t>دواء</t>
        </is>
      </c>
      <c r="D1064" s="13" t="inlineStr">
        <is>
          <t>0795044248166</t>
        </is>
      </c>
      <c r="E1064" s="14">
        <f>L1064-K1064</f>
        <v/>
      </c>
      <c r="F1064" s="14" t="n">
        <v>0</v>
      </c>
      <c r="G1064" s="14">
        <f>F1064-E1064</f>
        <v/>
      </c>
      <c r="H1064" s="7" t="n">
        <v>150</v>
      </c>
      <c r="I1064" s="7">
        <f>G1064*H1064</f>
        <v/>
      </c>
      <c r="J1064" s="16" t="inlineStr">
        <is>
          <t>لم يُجرد</t>
        </is>
      </c>
      <c r="K1064" s="14" t="n">
        <v>0</v>
      </c>
      <c r="L1064" s="14" t="n">
        <v>1</v>
      </c>
      <c r="M1064" s="5" t="inlineStr"/>
      <c r="N1064" s="5" t="inlineStr"/>
    </row>
    <row r="1065">
      <c r="A1065" s="13" t="inlineStr">
        <is>
          <t>00036932</t>
        </is>
      </c>
      <c r="B1065" s="5" t="inlineStr">
        <is>
          <t>[00036932] IROVIT 30ML 1033 DROPS JR.PH</t>
        </is>
      </c>
      <c r="C1065" s="5" t="inlineStr">
        <is>
          <t>دواء</t>
        </is>
      </c>
      <c r="D1065" s="13" t="inlineStr">
        <is>
          <t>795697001033</t>
        </is>
      </c>
      <c r="E1065" s="14">
        <f>L1065-K1065</f>
        <v/>
      </c>
      <c r="F1065" s="14" t="n">
        <v>0</v>
      </c>
      <c r="G1065" s="14">
        <f>F1065-E1065</f>
        <v/>
      </c>
      <c r="H1065" s="7" t="n">
        <v>64</v>
      </c>
      <c r="I1065" s="7">
        <f>G1065*H1065</f>
        <v/>
      </c>
      <c r="J1065" s="16" t="inlineStr">
        <is>
          <t>لم يُجرد</t>
        </is>
      </c>
      <c r="K1065" s="14" t="n">
        <v>0</v>
      </c>
      <c r="L1065" s="14" t="n">
        <v>1</v>
      </c>
      <c r="M1065" s="5" t="inlineStr"/>
      <c r="N1065" s="5" t="inlineStr"/>
    </row>
    <row r="1066">
      <c r="A1066" s="13" t="inlineStr">
        <is>
          <t>00047580</t>
        </is>
      </c>
      <c r="B1066" s="5" t="inlineStr">
        <is>
          <t>[00047580] INNOVA LIFE BONE FORMULA 30CAP 3911</t>
        </is>
      </c>
      <c r="C1066" s="5" t="inlineStr">
        <is>
          <t>دواء</t>
        </is>
      </c>
      <c r="D1066" s="13" t="inlineStr">
        <is>
          <t>6224011153911</t>
        </is>
      </c>
      <c r="E1066" s="14">
        <f>L1066-K1066</f>
        <v/>
      </c>
      <c r="F1066" s="14" t="n">
        <v>0</v>
      </c>
      <c r="G1066" s="14">
        <f>F1066-E1066</f>
        <v/>
      </c>
      <c r="H1066" s="7" t="n">
        <v>80</v>
      </c>
      <c r="I1066" s="7">
        <f>G1066*H1066</f>
        <v/>
      </c>
      <c r="J1066" s="16" t="inlineStr">
        <is>
          <t>لم يُجرد</t>
        </is>
      </c>
      <c r="K1066" s="14" t="n">
        <v>0</v>
      </c>
      <c r="L1066" s="14" t="n">
        <v>2</v>
      </c>
      <c r="M1066" s="5" t="inlineStr"/>
      <c r="N1066" s="5" t="inlineStr"/>
    </row>
    <row r="1067">
      <c r="A1067" s="13" t="inlineStr">
        <is>
          <t>0004537</t>
        </is>
      </c>
      <c r="B1067" s="5" t="inlineStr">
        <is>
          <t>[0004537] ZITHROMAX 300MG SUSP 22.5ML</t>
        </is>
      </c>
      <c r="C1067" s="5" t="inlineStr">
        <is>
          <t>دواء</t>
        </is>
      </c>
      <c r="D1067" s="13" t="inlineStr">
        <is>
          <t>01054150620010732110</t>
        </is>
      </c>
      <c r="E1067" s="14">
        <f>L1067-K1067</f>
        <v/>
      </c>
      <c r="F1067" s="14" t="n">
        <v>0</v>
      </c>
      <c r="G1067" s="14">
        <f>F1067-E1067</f>
        <v/>
      </c>
      <c r="H1067" s="7" t="n">
        <v>43.6</v>
      </c>
      <c r="I1067" s="7">
        <f>G1067*H1067</f>
        <v/>
      </c>
      <c r="J1067" s="16" t="inlineStr">
        <is>
          <t>لم يُجرد</t>
        </is>
      </c>
      <c r="K1067" s="14" t="n">
        <v>0</v>
      </c>
      <c r="L1067" s="14" t="n">
        <v>2</v>
      </c>
      <c r="M1067" s="5" t="inlineStr"/>
      <c r="N1067" s="5" t="inlineStr"/>
    </row>
    <row r="1068">
      <c r="A1068" s="13" t="inlineStr">
        <is>
          <t>00026228</t>
        </is>
      </c>
      <c r="B1068" s="5" t="inlineStr">
        <is>
          <t>[00026228] TERA D 50000 IU 20CAP</t>
        </is>
      </c>
      <c r="C1068" s="5" t="inlineStr">
        <is>
          <t>دواء</t>
        </is>
      </c>
      <c r="D1068" s="13" t="inlineStr"/>
      <c r="E1068" s="14">
        <f>L1068-K1068</f>
        <v/>
      </c>
      <c r="F1068" s="14" t="n">
        <v>0</v>
      </c>
      <c r="G1068" s="14">
        <f>F1068-E1068</f>
        <v/>
      </c>
      <c r="H1068" s="7" t="n">
        <v>44.65</v>
      </c>
      <c r="I1068" s="7">
        <f>G1068*H1068</f>
        <v/>
      </c>
      <c r="J1068" s="16" t="inlineStr">
        <is>
          <t>لم يُجرد</t>
        </is>
      </c>
      <c r="K1068" s="14" t="n">
        <v>0</v>
      </c>
      <c r="L1068" s="14" t="n">
        <v>2</v>
      </c>
      <c r="M1068" s="5" t="inlineStr"/>
      <c r="N1068" s="5" t="inlineStr"/>
    </row>
    <row r="1069">
      <c r="A1069" s="13" t="inlineStr">
        <is>
          <t>00014157</t>
        </is>
      </c>
      <c r="B1069" s="5" t="inlineStr">
        <is>
          <t>[00014157] CONTOUR NEXT B. G. DEVICE</t>
        </is>
      </c>
      <c r="C1069" s="5" t="inlineStr">
        <is>
          <t>دواء</t>
        </is>
      </c>
      <c r="D1069" s="13" t="inlineStr">
        <is>
          <t>5016003792113</t>
        </is>
      </c>
      <c r="E1069" s="14">
        <f>L1069-K1069</f>
        <v/>
      </c>
      <c r="F1069" s="14" t="n">
        <v>0</v>
      </c>
      <c r="G1069" s="14">
        <f>F1069-E1069</f>
        <v/>
      </c>
      <c r="H1069" s="7" t="n">
        <v>75</v>
      </c>
      <c r="I1069" s="7">
        <f>G1069*H1069</f>
        <v/>
      </c>
      <c r="J1069" s="16" t="inlineStr">
        <is>
          <t>لم يُجرد</t>
        </is>
      </c>
      <c r="K1069" s="14" t="n">
        <v>0</v>
      </c>
      <c r="L1069" s="14" t="n">
        <v>2</v>
      </c>
      <c r="M1069" s="5" t="inlineStr"/>
      <c r="N1069" s="5" t="inlineStr"/>
    </row>
    <row r="1070">
      <c r="A1070" s="13" t="inlineStr">
        <is>
          <t>0003741</t>
        </is>
      </c>
      <c r="B1070" s="5" t="inlineStr">
        <is>
          <t>[0003741] GAVISCON PEPP 200ML SUSP</t>
        </is>
      </c>
      <c r="C1070" s="5" t="inlineStr">
        <is>
          <t>دواء</t>
        </is>
      </c>
      <c r="D1070" s="13" t="inlineStr">
        <is>
          <t>05000158065734</t>
        </is>
      </c>
      <c r="E1070" s="14">
        <f>L1070-K1070</f>
        <v/>
      </c>
      <c r="F1070" s="14" t="n">
        <v>0</v>
      </c>
      <c r="G1070" s="14">
        <f>F1070-E1070</f>
        <v/>
      </c>
      <c r="H1070" s="7" t="n">
        <v>15.2</v>
      </c>
      <c r="I1070" s="7">
        <f>G1070*H1070</f>
        <v/>
      </c>
      <c r="J1070" s="16" t="inlineStr">
        <is>
          <t>لم يُجرد</t>
        </is>
      </c>
      <c r="K1070" s="14" t="n">
        <v>0</v>
      </c>
      <c r="L1070" s="14" t="n">
        <v>5</v>
      </c>
      <c r="M1070" s="5" t="inlineStr"/>
      <c r="N1070" s="5" t="inlineStr"/>
    </row>
    <row r="1071">
      <c r="A1071" s="13" t="inlineStr">
        <is>
          <t>00048817</t>
        </is>
      </c>
      <c r="B1071" s="5" t="inlineStr">
        <is>
          <t>[00048817] FRESH MINE FEMININE WASH GEL 250 ML 0105</t>
        </is>
      </c>
      <c r="C1071" s="5" t="inlineStr">
        <is>
          <t>دواء</t>
        </is>
      </c>
      <c r="D1071" s="13" t="inlineStr">
        <is>
          <t>6286709000105</t>
        </is>
      </c>
      <c r="E1071" s="14">
        <f>L1071-K1071</f>
        <v/>
      </c>
      <c r="F1071" s="14" t="n">
        <v>0</v>
      </c>
      <c r="G1071" s="14">
        <f>F1071-E1071</f>
        <v/>
      </c>
      <c r="H1071" s="7" t="n">
        <v>79</v>
      </c>
      <c r="I1071" s="7">
        <f>G1071*H1071</f>
        <v/>
      </c>
      <c r="J1071" s="16" t="inlineStr">
        <is>
          <t>لم يُجرد</t>
        </is>
      </c>
      <c r="K1071" s="14" t="n">
        <v>0</v>
      </c>
      <c r="L1071" s="14" t="n">
        <v>2</v>
      </c>
      <c r="M1071" s="5" t="inlineStr"/>
      <c r="N1071" s="5" t="inlineStr"/>
    </row>
    <row r="1072">
      <c r="A1072" s="13" t="inlineStr">
        <is>
          <t>00035654</t>
        </is>
      </c>
      <c r="B1072" s="5" t="inlineStr">
        <is>
          <t>[00035654] LIPOFIRATE 145MG 30TAB</t>
        </is>
      </c>
      <c r="C1072" s="5" t="inlineStr">
        <is>
          <t>دواء</t>
        </is>
      </c>
      <c r="D1072" s="13" t="inlineStr"/>
      <c r="E1072" s="14">
        <f>L1072-K1072</f>
        <v/>
      </c>
      <c r="F1072" s="14" t="n">
        <v>0</v>
      </c>
      <c r="G1072" s="14">
        <f>F1072-E1072</f>
        <v/>
      </c>
      <c r="H1072" s="7" t="n">
        <v>37.85</v>
      </c>
      <c r="I1072" s="7">
        <f>G1072*H1072</f>
        <v/>
      </c>
      <c r="J1072" s="16" t="inlineStr">
        <is>
          <t>لم يُجرد</t>
        </is>
      </c>
      <c r="K1072" s="14" t="n">
        <v>0</v>
      </c>
      <c r="L1072" s="14" t="n">
        <v>2</v>
      </c>
      <c r="M1072" s="5" t="inlineStr"/>
      <c r="N1072" s="5" t="inlineStr"/>
    </row>
    <row r="1073">
      <c r="A1073" s="13" t="inlineStr">
        <is>
          <t>00035684</t>
        </is>
      </c>
      <c r="B1073" s="5" t="inlineStr">
        <is>
          <t>[00035684] DALLAH QT BABY CREAM 100 GM</t>
        </is>
      </c>
      <c r="C1073" s="5" t="inlineStr">
        <is>
          <t>دواء</t>
        </is>
      </c>
      <c r="D1073" s="13" t="inlineStr"/>
      <c r="E1073" s="14">
        <f>L1073-K1073</f>
        <v/>
      </c>
      <c r="F1073" s="14" t="n">
        <v>0</v>
      </c>
      <c r="G1073" s="14">
        <f>F1073-E1073</f>
        <v/>
      </c>
      <c r="H1073" s="7" t="n">
        <v>45</v>
      </c>
      <c r="I1073" s="7">
        <f>G1073*H1073</f>
        <v/>
      </c>
      <c r="J1073" s="16" t="inlineStr">
        <is>
          <t>لم يُجرد</t>
        </is>
      </c>
      <c r="K1073" s="14" t="n">
        <v>0</v>
      </c>
      <c r="L1073" s="14" t="n">
        <v>4</v>
      </c>
      <c r="M1073" s="5" t="inlineStr"/>
      <c r="N1073" s="5" t="inlineStr"/>
    </row>
    <row r="1074">
      <c r="A1074" s="13" t="inlineStr">
        <is>
          <t>00016340</t>
        </is>
      </c>
      <c r="B1074" s="5" t="inlineStr">
        <is>
          <t>[00016340] DESTAMIN 5MG TAB</t>
        </is>
      </c>
      <c r="C1074" s="5" t="inlineStr">
        <is>
          <t>دواء</t>
        </is>
      </c>
      <c r="D1074" s="13" t="inlineStr"/>
      <c r="E1074" s="14">
        <f>L1074-K1074</f>
        <v/>
      </c>
      <c r="F1074" s="14" t="n">
        <v>0</v>
      </c>
      <c r="G1074" s="14">
        <f>F1074-E1074</f>
        <v/>
      </c>
      <c r="H1074" s="7" t="n">
        <v>18.85</v>
      </c>
      <c r="I1074" s="7">
        <f>G1074*H1074</f>
        <v/>
      </c>
      <c r="J1074" s="16" t="inlineStr">
        <is>
          <t>لم يُجرد</t>
        </is>
      </c>
      <c r="K1074" s="14" t="n">
        <v>0</v>
      </c>
      <c r="L1074" s="14" t="n">
        <v>4</v>
      </c>
      <c r="M1074" s="5" t="inlineStr"/>
      <c r="N1074" s="5" t="inlineStr"/>
    </row>
    <row r="1075">
      <c r="A1075" s="13" t="inlineStr">
        <is>
          <t>0003464</t>
        </is>
      </c>
      <c r="B1075" s="5" t="inlineStr">
        <is>
          <t>[0003464] HYMOX FORTE 250MG SUSPENSION 100ML</t>
        </is>
      </c>
      <c r="C1075" s="5" t="inlineStr">
        <is>
          <t>دواء</t>
        </is>
      </c>
      <c r="D1075" s="13" t="inlineStr">
        <is>
          <t>06281086010891</t>
        </is>
      </c>
      <c r="E1075" s="14">
        <f>L1075-K1075</f>
        <v/>
      </c>
      <c r="F1075" s="14" t="n">
        <v>0</v>
      </c>
      <c r="G1075" s="14">
        <f>F1075-E1075</f>
        <v/>
      </c>
      <c r="H1075" s="7" t="n">
        <v>25.05</v>
      </c>
      <c r="I1075" s="7">
        <f>G1075*H1075</f>
        <v/>
      </c>
      <c r="J1075" s="16" t="inlineStr">
        <is>
          <t>لم يُجرد</t>
        </is>
      </c>
      <c r="K1075" s="14" t="n">
        <v>0</v>
      </c>
      <c r="L1075" s="14" t="n">
        <v>3</v>
      </c>
      <c r="M1075" s="5" t="inlineStr"/>
      <c r="N1075" s="5" t="inlineStr"/>
    </row>
    <row r="1076">
      <c r="A1076" s="13" t="inlineStr">
        <is>
          <t>00021725</t>
        </is>
      </c>
      <c r="B1076" s="5" t="inlineStr">
        <is>
          <t>[00021725] CARBOSET 600 MG  50 TAB</t>
        </is>
      </c>
      <c r="C1076" s="5" t="inlineStr">
        <is>
          <t>دواء</t>
        </is>
      </c>
      <c r="D1076" s="13" t="inlineStr">
        <is>
          <t>06286059000039</t>
        </is>
      </c>
      <c r="E1076" s="14">
        <f>L1076-K1076</f>
        <v/>
      </c>
      <c r="F1076" s="14" t="n">
        <v>0</v>
      </c>
      <c r="G1076" s="14">
        <f>F1076-E1076</f>
        <v/>
      </c>
      <c r="H1076" s="7" t="n">
        <v>25</v>
      </c>
      <c r="I1076" s="7">
        <f>G1076*H1076</f>
        <v/>
      </c>
      <c r="J1076" s="16" t="inlineStr">
        <is>
          <t>لم يُجرد</t>
        </is>
      </c>
      <c r="K1076" s="14" t="n">
        <v>0</v>
      </c>
      <c r="L1076" s="14" t="n">
        <v>3</v>
      </c>
      <c r="M1076" s="5" t="inlineStr"/>
      <c r="N1076" s="5" t="inlineStr"/>
    </row>
    <row r="1077">
      <c r="A1077" s="13" t="inlineStr">
        <is>
          <t>00042162</t>
        </is>
      </c>
      <c r="B1077" s="5" t="inlineStr">
        <is>
          <t>[00042162] ARKORELAX SLEEP 30 GUMMIES 6316</t>
        </is>
      </c>
      <c r="C1077" s="5" t="inlineStr">
        <is>
          <t>دواء</t>
        </is>
      </c>
      <c r="D1077" s="13" t="inlineStr">
        <is>
          <t>3578830116316</t>
        </is>
      </c>
      <c r="E1077" s="14">
        <f>L1077-K1077</f>
        <v/>
      </c>
      <c r="F1077" s="14" t="n">
        <v>0</v>
      </c>
      <c r="G1077" s="14">
        <f>F1077-E1077</f>
        <v/>
      </c>
      <c r="H1077" s="7" t="n">
        <v>104</v>
      </c>
      <c r="I1077" s="7">
        <f>G1077*H1077</f>
        <v/>
      </c>
      <c r="J1077" s="16" t="inlineStr">
        <is>
          <t>لم يُجرد</t>
        </is>
      </c>
      <c r="K1077" s="14" t="n">
        <v>0</v>
      </c>
      <c r="L1077" s="14" t="n">
        <v>1</v>
      </c>
      <c r="M1077" s="5" t="inlineStr"/>
      <c r="N1077" s="5" t="inlineStr"/>
    </row>
    <row r="1078">
      <c r="A1078" s="13" t="inlineStr">
        <is>
          <t>0004798</t>
        </is>
      </c>
      <c r="B1078" s="5" t="inlineStr">
        <is>
          <t>[0004798] TOBREX EYE OINT 35GM</t>
        </is>
      </c>
      <c r="C1078" s="5" t="inlineStr">
        <is>
          <t>دواء</t>
        </is>
      </c>
      <c r="D1078" s="13" t="inlineStr">
        <is>
          <t>01054138950308641720</t>
        </is>
      </c>
      <c r="E1078" s="14">
        <f>L1078-K1078</f>
        <v/>
      </c>
      <c r="F1078" s="14" t="n">
        <v>0</v>
      </c>
      <c r="G1078" s="14">
        <f>F1078-E1078</f>
        <v/>
      </c>
      <c r="H1078" s="7" t="n">
        <v>18.7</v>
      </c>
      <c r="I1078" s="7">
        <f>G1078*H1078</f>
        <v/>
      </c>
      <c r="J1078" s="16" t="inlineStr">
        <is>
          <t>لم يُجرد</t>
        </is>
      </c>
      <c r="K1078" s="14" t="n">
        <v>0</v>
      </c>
      <c r="L1078" s="14" t="n">
        <v>4</v>
      </c>
      <c r="M1078" s="5" t="inlineStr"/>
      <c r="N1078" s="5" t="inlineStr"/>
    </row>
    <row r="1079">
      <c r="A1079" s="13" t="inlineStr">
        <is>
          <t>0004430</t>
        </is>
      </c>
      <c r="B1079" s="5" t="inlineStr">
        <is>
          <t>[0004430] BETASEPT MOUTHWASH 130ML</t>
        </is>
      </c>
      <c r="C1079" s="5" t="inlineStr">
        <is>
          <t>دواء</t>
        </is>
      </c>
      <c r="D1079" s="13" t="inlineStr">
        <is>
          <t>06285128003001</t>
        </is>
      </c>
      <c r="E1079" s="14">
        <f>L1079-K1079</f>
        <v/>
      </c>
      <c r="F1079" s="14" t="n">
        <v>0</v>
      </c>
      <c r="G1079" s="14">
        <f>F1079-E1079</f>
        <v/>
      </c>
      <c r="H1079" s="7" t="n">
        <v>24</v>
      </c>
      <c r="I1079" s="7">
        <f>G1079*H1079</f>
        <v/>
      </c>
      <c r="J1079" s="16" t="inlineStr">
        <is>
          <t>لم يُجرد</t>
        </is>
      </c>
      <c r="K1079" s="14" t="n">
        <v>0</v>
      </c>
      <c r="L1079" s="14" t="n">
        <v>7</v>
      </c>
      <c r="M1079" s="5" t="inlineStr"/>
      <c r="N1079" s="5" t="inlineStr"/>
    </row>
    <row r="1080">
      <c r="A1080" s="13" t="inlineStr">
        <is>
          <t>0004149</t>
        </is>
      </c>
      <c r="B1080" s="5" t="inlineStr">
        <is>
          <t>[0004149] BIOLYS AERO DIGEST 24CAP</t>
        </is>
      </c>
      <c r="C1080" s="5" t="inlineStr">
        <is>
          <t>دواء</t>
        </is>
      </c>
      <c r="D1080" s="13" t="inlineStr">
        <is>
          <t>5420024610002</t>
        </is>
      </c>
      <c r="E1080" s="14">
        <f>L1080-K1080</f>
        <v/>
      </c>
      <c r="F1080" s="14" t="n">
        <v>0</v>
      </c>
      <c r="G1080" s="14">
        <f>F1080-E1080</f>
        <v/>
      </c>
      <c r="H1080" s="7" t="n">
        <v>69</v>
      </c>
      <c r="I1080" s="7">
        <f>G1080*H1080</f>
        <v/>
      </c>
      <c r="J1080" s="16" t="inlineStr">
        <is>
          <t>لم يُجرد</t>
        </is>
      </c>
      <c r="K1080" s="14" t="n">
        <v>0</v>
      </c>
      <c r="L1080" s="14" t="n">
        <v>2</v>
      </c>
      <c r="M1080" s="5" t="inlineStr"/>
      <c r="N1080" s="5" t="inlineStr"/>
    </row>
    <row r="1081">
      <c r="A1081" s="13" t="inlineStr">
        <is>
          <t>00019738</t>
        </is>
      </c>
      <c r="B1081" s="5" t="inlineStr">
        <is>
          <t>[00019738] AVALON BRONCAST 10MG 28TAB</t>
        </is>
      </c>
      <c r="C1081" s="5" t="inlineStr">
        <is>
          <t>دواء</t>
        </is>
      </c>
      <c r="D1081" s="13" t="inlineStr">
        <is>
          <t>6285095006227</t>
        </is>
      </c>
      <c r="E1081" s="14">
        <f>L1081-K1081</f>
        <v/>
      </c>
      <c r="F1081" s="14" t="n">
        <v>0</v>
      </c>
      <c r="G1081" s="14">
        <f>F1081-E1081</f>
        <v/>
      </c>
      <c r="H1081" s="7" t="n">
        <v>71.45</v>
      </c>
      <c r="I1081" s="7">
        <f>G1081*H1081</f>
        <v/>
      </c>
      <c r="J1081" s="16" t="inlineStr">
        <is>
          <t>لم يُجرد</t>
        </is>
      </c>
      <c r="K1081" s="14" t="n">
        <v>0</v>
      </c>
      <c r="L1081" s="14" t="n">
        <v>1</v>
      </c>
      <c r="M1081" s="5" t="inlineStr"/>
      <c r="N1081" s="5" t="inlineStr"/>
    </row>
    <row r="1082">
      <c r="A1082" s="13" t="inlineStr">
        <is>
          <t>00048333</t>
        </is>
      </c>
      <c r="B1082" s="5" t="inlineStr">
        <is>
          <t>[00048333] RIAHEAL 30G OINT</t>
        </is>
      </c>
      <c r="C1082" s="5" t="inlineStr">
        <is>
          <t>دواء</t>
        </is>
      </c>
      <c r="D1082" s="13" t="inlineStr">
        <is>
          <t>06281080014871</t>
        </is>
      </c>
      <c r="E1082" s="14">
        <f>L1082-K1082</f>
        <v/>
      </c>
      <c r="F1082" s="14" t="n">
        <v>0</v>
      </c>
      <c r="G1082" s="14">
        <f>F1082-E1082</f>
        <v/>
      </c>
      <c r="H1082" s="7" t="n">
        <v>75</v>
      </c>
      <c r="I1082" s="7">
        <f>G1082*H1082</f>
        <v/>
      </c>
      <c r="J1082" s="16" t="inlineStr">
        <is>
          <t>لم يُجرد</t>
        </is>
      </c>
      <c r="K1082" s="14" t="n">
        <v>0</v>
      </c>
      <c r="L1082" s="14" t="n">
        <v>2</v>
      </c>
      <c r="M1082" s="5" t="inlineStr"/>
      <c r="N1082" s="5" t="inlineStr"/>
    </row>
    <row r="1083">
      <c r="A1083" s="13" t="inlineStr">
        <is>
          <t>00048243</t>
        </is>
      </c>
      <c r="B1083" s="5" t="inlineStr">
        <is>
          <t>[00048243] 3V TAB</t>
        </is>
      </c>
      <c r="C1083" s="5" t="inlineStr">
        <is>
          <t>دواء</t>
        </is>
      </c>
      <c r="D1083" s="13" t="inlineStr">
        <is>
          <t>06291100083640</t>
        </is>
      </c>
      <c r="E1083" s="14">
        <f>L1083-K1083</f>
        <v/>
      </c>
      <c r="F1083" s="14" t="n">
        <v>0</v>
      </c>
      <c r="G1083" s="14">
        <f>F1083-E1083</f>
        <v/>
      </c>
      <c r="H1083" s="7" t="n">
        <v>12.4</v>
      </c>
      <c r="I1083" s="7">
        <f>G1083*H1083</f>
        <v/>
      </c>
      <c r="J1083" s="16" t="inlineStr">
        <is>
          <t>لم يُجرد</t>
        </is>
      </c>
      <c r="K1083" s="14" t="n">
        <v>0</v>
      </c>
      <c r="L1083" s="14" t="n">
        <v>6</v>
      </c>
      <c r="M1083" s="5" t="inlineStr"/>
      <c r="N1083" s="5" t="inlineStr"/>
    </row>
    <row r="1084">
      <c r="A1084" s="13" t="inlineStr">
        <is>
          <t>0003562</t>
        </is>
      </c>
      <c r="B1084" s="5" t="inlineStr">
        <is>
          <t>[0003562] GLADOS 30MG 30TAB WASFA</t>
        </is>
      </c>
      <c r="C1084" s="5" t="inlineStr">
        <is>
          <t>دواء</t>
        </is>
      </c>
      <c r="D1084" s="13" t="inlineStr"/>
      <c r="E1084" s="14">
        <f>L1084-K1084</f>
        <v/>
      </c>
      <c r="F1084" s="14" t="n">
        <v>0</v>
      </c>
      <c r="G1084" s="14">
        <f>F1084-E1084</f>
        <v/>
      </c>
      <c r="H1084" s="7" t="n">
        <v>71.3</v>
      </c>
      <c r="I1084" s="7">
        <f>G1084*H1084</f>
        <v/>
      </c>
      <c r="J1084" s="16" t="inlineStr">
        <is>
          <t>لم يُجرد</t>
        </is>
      </c>
      <c r="K1084" s="14" t="n">
        <v>0</v>
      </c>
      <c r="L1084" s="14" t="n">
        <v>1</v>
      </c>
      <c r="M1084" s="5" t="inlineStr"/>
      <c r="N1084" s="5" t="inlineStr"/>
    </row>
    <row r="1085">
      <c r="A1085" s="13" t="inlineStr">
        <is>
          <t>0003157</t>
        </is>
      </c>
      <c r="B1085" s="5" t="inlineStr">
        <is>
          <t>[0003157] SINOMARIN NASAL/W ADULTS 125ML</t>
        </is>
      </c>
      <c r="C1085" s="5" t="inlineStr">
        <is>
          <t>دواء</t>
        </is>
      </c>
      <c r="D1085" s="13" t="inlineStr">
        <is>
          <t>5206892100117</t>
        </is>
      </c>
      <c r="E1085" s="14">
        <f>L1085-K1085</f>
        <v/>
      </c>
      <c r="F1085" s="14" t="n">
        <v>0</v>
      </c>
      <c r="G1085" s="14">
        <f>F1085-E1085</f>
        <v/>
      </c>
      <c r="H1085" s="7" t="n">
        <v>56</v>
      </c>
      <c r="I1085" s="7">
        <f>G1085*H1085</f>
        <v/>
      </c>
      <c r="J1085" s="16" t="inlineStr">
        <is>
          <t>لم يُجرد</t>
        </is>
      </c>
      <c r="K1085" s="14" t="n">
        <v>0</v>
      </c>
      <c r="L1085" s="14" t="n">
        <v>2</v>
      </c>
      <c r="M1085" s="5" t="inlineStr"/>
      <c r="N1085" s="5" t="inlineStr"/>
    </row>
    <row r="1086">
      <c r="A1086" s="13" t="inlineStr">
        <is>
          <t>0003888</t>
        </is>
      </c>
      <c r="B1086" s="5" t="inlineStr">
        <is>
          <t>[0003888] EPIRAZOL 20MG 14TAB***</t>
        </is>
      </c>
      <c r="C1086" s="5" t="inlineStr">
        <is>
          <t>دواء</t>
        </is>
      </c>
      <c r="D1086" s="13" t="inlineStr">
        <is>
          <t>06221032131577</t>
        </is>
      </c>
      <c r="E1086" s="14">
        <f>L1086-K1086</f>
        <v/>
      </c>
      <c r="F1086" s="14" t="n">
        <v>0</v>
      </c>
      <c r="G1086" s="14">
        <f>F1086-E1086</f>
        <v/>
      </c>
      <c r="H1086" s="7" t="n">
        <v>23.35</v>
      </c>
      <c r="I1086" s="7">
        <f>G1086*H1086</f>
        <v/>
      </c>
      <c r="J1086" s="16" t="inlineStr">
        <is>
          <t>لم يُجرد</t>
        </is>
      </c>
      <c r="K1086" s="14" t="n">
        <v>0</v>
      </c>
      <c r="L1086" s="14" t="n">
        <v>5</v>
      </c>
      <c r="M1086" s="5" t="inlineStr"/>
      <c r="N1086" s="5" t="inlineStr"/>
    </row>
    <row r="1087">
      <c r="A1087" s="13" t="inlineStr">
        <is>
          <t>00015148</t>
        </is>
      </c>
      <c r="B1087" s="5" t="inlineStr">
        <is>
          <t>[00015148] AVALON CARE FOOT CREAM 90 ML</t>
        </is>
      </c>
      <c r="C1087" s="5" t="inlineStr">
        <is>
          <t>دواء</t>
        </is>
      </c>
      <c r="D1087" s="13" t="inlineStr">
        <is>
          <t>6285095006661</t>
        </is>
      </c>
      <c r="E1087" s="14">
        <f>L1087-K1087</f>
        <v/>
      </c>
      <c r="F1087" s="14" t="n">
        <v>0</v>
      </c>
      <c r="G1087" s="14">
        <f>F1087-E1087</f>
        <v/>
      </c>
      <c r="H1087" s="7" t="n">
        <v>47</v>
      </c>
      <c r="I1087" s="7">
        <f>G1087*H1087</f>
        <v/>
      </c>
      <c r="J1087" s="16" t="inlineStr">
        <is>
          <t>لم يُجرد</t>
        </is>
      </c>
      <c r="K1087" s="14" t="n">
        <v>0</v>
      </c>
      <c r="L1087" s="14" t="n">
        <v>3</v>
      </c>
      <c r="M1087" s="5" t="inlineStr"/>
      <c r="N1087" s="5" t="inlineStr"/>
    </row>
    <row r="1088">
      <c r="A1088" s="13" t="inlineStr">
        <is>
          <t>00023285</t>
        </is>
      </c>
      <c r="B1088" s="5" t="inlineStr">
        <is>
          <t>[00023285] SEPTOLETE LEMON 18TAB</t>
        </is>
      </c>
      <c r="C1088" s="5" t="inlineStr">
        <is>
          <t>دواء</t>
        </is>
      </c>
      <c r="D1088" s="13" t="inlineStr">
        <is>
          <t>3838989681203</t>
        </is>
      </c>
      <c r="E1088" s="14">
        <f>L1088-K1088</f>
        <v/>
      </c>
      <c r="F1088" s="14" t="n">
        <v>0</v>
      </c>
      <c r="G1088" s="14">
        <f>F1088-E1088</f>
        <v/>
      </c>
      <c r="H1088" s="7" t="n">
        <v>33</v>
      </c>
      <c r="I1088" s="7">
        <f>G1088*H1088</f>
        <v/>
      </c>
      <c r="J1088" s="16" t="inlineStr">
        <is>
          <t>لم يُجرد</t>
        </is>
      </c>
      <c r="K1088" s="14" t="n">
        <v>0</v>
      </c>
      <c r="L1088" s="14" t="n">
        <v>4</v>
      </c>
      <c r="M1088" s="5" t="inlineStr"/>
      <c r="N1088" s="5" t="inlineStr"/>
    </row>
    <row r="1089">
      <c r="A1089" s="13" t="inlineStr">
        <is>
          <t>0004788</t>
        </is>
      </c>
      <c r="B1089" s="5" t="inlineStr">
        <is>
          <t>[0004788] THIOTACID 300MG 30TAB</t>
        </is>
      </c>
      <c r="C1089" s="5" t="inlineStr">
        <is>
          <t>دواء</t>
        </is>
      </c>
      <c r="D1089" s="13" t="inlineStr">
        <is>
          <t>6223004510021</t>
        </is>
      </c>
      <c r="E1089" s="14">
        <f>L1089-K1089</f>
        <v/>
      </c>
      <c r="F1089" s="14" t="n">
        <v>0</v>
      </c>
      <c r="G1089" s="14">
        <f>F1089-E1089</f>
        <v/>
      </c>
      <c r="H1089" s="7" t="n">
        <v>77</v>
      </c>
      <c r="I1089" s="7">
        <f>G1089*H1089</f>
        <v/>
      </c>
      <c r="J1089" s="16" t="inlineStr">
        <is>
          <t>لم يُجرد</t>
        </is>
      </c>
      <c r="K1089" s="14" t="n">
        <v>0</v>
      </c>
      <c r="L1089" s="14" t="n">
        <v>1</v>
      </c>
      <c r="M1089" s="5" t="inlineStr"/>
      <c r="N1089" s="5" t="inlineStr"/>
    </row>
    <row r="1090">
      <c r="A1090" s="13" t="inlineStr">
        <is>
          <t>0003541</t>
        </is>
      </c>
      <c r="B1090" s="5" t="inlineStr">
        <is>
          <t>[0003541] GLUCOPHAGE XR 750MG 30TAB</t>
        </is>
      </c>
      <c r="C1090" s="5" t="inlineStr">
        <is>
          <t>دواء</t>
        </is>
      </c>
      <c r="D1090" s="13" t="inlineStr">
        <is>
          <t>04065272072977</t>
        </is>
      </c>
      <c r="E1090" s="14">
        <f>L1090-K1090</f>
        <v/>
      </c>
      <c r="F1090" s="14" t="n">
        <v>0</v>
      </c>
      <c r="G1090" s="14">
        <f>F1090-E1090</f>
        <v/>
      </c>
      <c r="H1090" s="7" t="n">
        <v>25</v>
      </c>
      <c r="I1090" s="7">
        <f>G1090*H1090</f>
        <v/>
      </c>
      <c r="J1090" s="16" t="inlineStr">
        <is>
          <t>لم يُجرد</t>
        </is>
      </c>
      <c r="K1090" s="14" t="n">
        <v>0</v>
      </c>
      <c r="L1090" s="14" t="n">
        <v>3</v>
      </c>
      <c r="M1090" s="5" t="inlineStr"/>
      <c r="N1090" s="5" t="inlineStr"/>
    </row>
    <row r="1091">
      <c r="A1091" s="13" t="inlineStr">
        <is>
          <t>0003101</t>
        </is>
      </c>
      <c r="B1091" s="5" t="inlineStr">
        <is>
          <t>[0003101] AMVASC 5MG 30TAB WASFA</t>
        </is>
      </c>
      <c r="C1091" s="5" t="inlineStr">
        <is>
          <t>دواء</t>
        </is>
      </c>
      <c r="D1091" s="13" t="inlineStr">
        <is>
          <t>010628512800011610uh</t>
        </is>
      </c>
      <c r="E1091" s="14">
        <f>L1091-K1091</f>
        <v/>
      </c>
      <c r="F1091" s="14" t="n">
        <v>0</v>
      </c>
      <c r="G1091" s="14">
        <f>F1091-E1091</f>
        <v/>
      </c>
      <c r="H1091" s="7" t="n">
        <v>53.35</v>
      </c>
      <c r="I1091" s="7">
        <f>G1091*H1091</f>
        <v/>
      </c>
      <c r="J1091" s="16" t="inlineStr">
        <is>
          <t>لم يُجرد</t>
        </is>
      </c>
      <c r="K1091" s="14" t="n">
        <v>0</v>
      </c>
      <c r="L1091" s="14" t="n">
        <v>2</v>
      </c>
      <c r="M1091" s="5" t="inlineStr"/>
      <c r="N1091" s="5" t="inlineStr"/>
    </row>
    <row r="1092">
      <c r="A1092" s="13" t="inlineStr">
        <is>
          <t>0005018</t>
        </is>
      </c>
      <c r="B1092" s="5" t="inlineStr">
        <is>
          <t>[0005018] E MOX 500MG 16 CAP***</t>
        </is>
      </c>
      <c r="C1092" s="5" t="inlineStr">
        <is>
          <t>دواء</t>
        </is>
      </c>
      <c r="D1092" s="13" t="inlineStr">
        <is>
          <t>06221032131492</t>
        </is>
      </c>
      <c r="E1092" s="14">
        <f>L1092-K1092</f>
        <v/>
      </c>
      <c r="F1092" s="14" t="n">
        <v>0</v>
      </c>
      <c r="G1092" s="14">
        <f>F1092-E1092</f>
        <v/>
      </c>
      <c r="H1092" s="7" t="n">
        <v>10.25</v>
      </c>
      <c r="I1092" s="7">
        <f>G1092*H1092</f>
        <v/>
      </c>
      <c r="J1092" s="16" t="inlineStr">
        <is>
          <t>لم يُجرد</t>
        </is>
      </c>
      <c r="K1092" s="14" t="n">
        <v>0</v>
      </c>
      <c r="L1092" s="14" t="n">
        <v>10</v>
      </c>
      <c r="M1092" s="5" t="inlineStr"/>
      <c r="N1092" s="5" t="inlineStr"/>
    </row>
    <row r="1093">
      <c r="A1093" s="13" t="inlineStr">
        <is>
          <t>0005610</t>
        </is>
      </c>
      <c r="B1093" s="5" t="inlineStr">
        <is>
          <t>[0005610] MUCOSOLVAN 30MG 20TAB</t>
        </is>
      </c>
      <c r="C1093" s="5" t="inlineStr">
        <is>
          <t>دواء</t>
        </is>
      </c>
      <c r="D1093" s="13" t="inlineStr">
        <is>
          <t>06285079000289</t>
        </is>
      </c>
      <c r="E1093" s="14">
        <f>L1093-K1093</f>
        <v/>
      </c>
      <c r="F1093" s="14" t="n">
        <v>0</v>
      </c>
      <c r="G1093" s="14">
        <f>F1093-E1093</f>
        <v/>
      </c>
      <c r="H1093" s="7" t="n">
        <v>14.7</v>
      </c>
      <c r="I1093" s="7">
        <f>G1093*H1093</f>
        <v/>
      </c>
      <c r="J1093" s="16" t="inlineStr">
        <is>
          <t>لم يُجرد</t>
        </is>
      </c>
      <c r="K1093" s="14" t="n">
        <v>0</v>
      </c>
      <c r="L1093" s="14" t="n">
        <v>5</v>
      </c>
      <c r="M1093" s="5" t="inlineStr"/>
      <c r="N1093" s="5" t="inlineStr"/>
    </row>
    <row r="1094">
      <c r="A1094" s="13" t="inlineStr">
        <is>
          <t>0005144</t>
        </is>
      </c>
      <c r="B1094" s="5" t="inlineStr">
        <is>
          <t>[0005144] QUINOX 750MG 10TAB</t>
        </is>
      </c>
      <c r="C1094" s="5" t="inlineStr">
        <is>
          <t>دواء</t>
        </is>
      </c>
      <c r="D1094" s="13" t="inlineStr">
        <is>
          <t>01062851470035701719</t>
        </is>
      </c>
      <c r="E1094" s="14">
        <f>L1094-K1094</f>
        <v/>
      </c>
      <c r="F1094" s="14" t="n">
        <v>0</v>
      </c>
      <c r="G1094" s="14">
        <f>F1094-E1094</f>
        <v/>
      </c>
      <c r="H1094" s="7" t="n">
        <v>51.81</v>
      </c>
      <c r="I1094" s="7">
        <f>G1094*H1094</f>
        <v/>
      </c>
      <c r="J1094" s="16" t="inlineStr">
        <is>
          <t>لم يُجرد</t>
        </is>
      </c>
      <c r="K1094" s="14" t="n">
        <v>0</v>
      </c>
      <c r="L1094" s="14" t="n">
        <v>2</v>
      </c>
      <c r="M1094" s="5" t="inlineStr"/>
      <c r="N1094" s="5" t="inlineStr"/>
    </row>
    <row r="1095">
      <c r="A1095" s="13" t="inlineStr">
        <is>
          <t>00012820</t>
        </is>
      </c>
      <c r="B1095" s="5" t="inlineStr">
        <is>
          <t>[00012820] AVALON CLOVIRAX 2 GM CREAM</t>
        </is>
      </c>
      <c r="C1095" s="5" t="inlineStr">
        <is>
          <t>دواء</t>
        </is>
      </c>
      <c r="D1095" s="13" t="inlineStr">
        <is>
          <t>06285095006388</t>
        </is>
      </c>
      <c r="E1095" s="14">
        <f>L1095-K1095</f>
        <v/>
      </c>
      <c r="F1095" s="14" t="n">
        <v>0</v>
      </c>
      <c r="G1095" s="14">
        <f>F1095-E1095</f>
        <v/>
      </c>
      <c r="H1095" s="7" t="n">
        <v>12.15</v>
      </c>
      <c r="I1095" s="7">
        <f>G1095*H1095</f>
        <v/>
      </c>
      <c r="J1095" s="16" t="inlineStr">
        <is>
          <t>لم يُجرد</t>
        </is>
      </c>
      <c r="K1095" s="14" t="n">
        <v>0</v>
      </c>
      <c r="L1095" s="14" t="n">
        <v>6</v>
      </c>
      <c r="M1095" s="5" t="inlineStr"/>
      <c r="N1095" s="5" t="inlineStr"/>
    </row>
    <row r="1096">
      <c r="A1096" s="13" t="inlineStr">
        <is>
          <t>0004538</t>
        </is>
      </c>
      <c r="B1096" s="5" t="inlineStr">
        <is>
          <t>[0004538] ZOCIN 250MG 6 CAPS</t>
        </is>
      </c>
      <c r="C1096" s="5" t="inlineStr">
        <is>
          <t>دواء</t>
        </is>
      </c>
      <c r="D1096" s="13" t="inlineStr"/>
      <c r="E1096" s="14">
        <f>L1096-K1096</f>
        <v/>
      </c>
      <c r="F1096" s="14" t="n">
        <v>0</v>
      </c>
      <c r="G1096" s="14">
        <f>F1096-E1096</f>
        <v/>
      </c>
      <c r="H1096" s="7" t="n">
        <v>36.2</v>
      </c>
      <c r="I1096" s="7">
        <f>G1096*H1096</f>
        <v/>
      </c>
      <c r="J1096" s="16" t="inlineStr">
        <is>
          <t>لم يُجرد</t>
        </is>
      </c>
      <c r="K1096" s="14" t="n">
        <v>0</v>
      </c>
      <c r="L1096" s="14" t="n">
        <v>2</v>
      </c>
      <c r="M1096" s="5" t="inlineStr"/>
      <c r="N1096" s="5" t="inlineStr"/>
    </row>
    <row r="1097">
      <c r="A1097" s="13" t="inlineStr">
        <is>
          <t>0004989</t>
        </is>
      </c>
      <c r="B1097" s="5" t="inlineStr">
        <is>
          <t>[0004989] SALBULASE 2 MG SYRUP 120ML</t>
        </is>
      </c>
      <c r="C1097" s="5" t="inlineStr">
        <is>
          <t>دواء</t>
        </is>
      </c>
      <c r="D1097" s="13" t="inlineStr">
        <is>
          <t>06285085000426</t>
        </is>
      </c>
      <c r="E1097" s="14">
        <f>L1097-K1097</f>
        <v/>
      </c>
      <c r="F1097" s="14" t="n">
        <v>0</v>
      </c>
      <c r="G1097" s="14">
        <f>F1097-E1097</f>
        <v/>
      </c>
      <c r="H1097" s="7" t="n">
        <v>6.7</v>
      </c>
      <c r="I1097" s="7">
        <f>G1097*H1097</f>
        <v/>
      </c>
      <c r="J1097" s="16" t="inlineStr">
        <is>
          <t>لم يُجرد</t>
        </is>
      </c>
      <c r="K1097" s="14" t="n">
        <v>0</v>
      </c>
      <c r="L1097" s="14" t="n">
        <v>12</v>
      </c>
      <c r="M1097" s="5" t="inlineStr"/>
      <c r="N1097" s="5" t="inlineStr"/>
    </row>
    <row r="1098">
      <c r="A1098" s="13" t="inlineStr">
        <is>
          <t>0004066</t>
        </is>
      </c>
      <c r="B1098" s="5" t="inlineStr">
        <is>
          <t>[0004066] CO TABUVAN 160/12.5MG 30TAB WASFA</t>
        </is>
      </c>
      <c r="C1098" s="5" t="inlineStr">
        <is>
          <t>دواء</t>
        </is>
      </c>
      <c r="D1098" s="13" t="inlineStr">
        <is>
          <t>06285147000791</t>
        </is>
      </c>
      <c r="E1098" s="14">
        <f>L1098-K1098</f>
        <v/>
      </c>
      <c r="F1098" s="14" t="n">
        <v>0</v>
      </c>
      <c r="G1098" s="14">
        <f>F1098-E1098</f>
        <v/>
      </c>
      <c r="H1098" s="7" t="n">
        <v>36.1</v>
      </c>
      <c r="I1098" s="7">
        <f>G1098*H1098</f>
        <v/>
      </c>
      <c r="J1098" s="16" t="inlineStr">
        <is>
          <t>لم يُجرد</t>
        </is>
      </c>
      <c r="K1098" s="14" t="n">
        <v>0</v>
      </c>
      <c r="L1098" s="14" t="n">
        <v>2</v>
      </c>
      <c r="M1098" s="5" t="inlineStr"/>
      <c r="N1098" s="5" t="inlineStr"/>
    </row>
    <row r="1099">
      <c r="A1099" s="13" t="inlineStr">
        <is>
          <t>0003950</t>
        </is>
      </c>
      <c r="B1099" s="5" t="inlineStr">
        <is>
          <t>[0003950] ALDACTONE 25MG 20TAB</t>
        </is>
      </c>
      <c r="C1099" s="5" t="inlineStr">
        <is>
          <t>دواء</t>
        </is>
      </c>
      <c r="D1099" s="13" t="inlineStr">
        <is>
          <t>05415062002193</t>
        </is>
      </c>
      <c r="E1099" s="14">
        <f>L1099-K1099</f>
        <v/>
      </c>
      <c r="F1099" s="14" t="n">
        <v>0</v>
      </c>
      <c r="G1099" s="14">
        <f>F1099-E1099</f>
        <v/>
      </c>
      <c r="H1099" s="7" t="n">
        <v>18</v>
      </c>
      <c r="I1099" s="7">
        <f>G1099*H1099</f>
        <v/>
      </c>
      <c r="J1099" s="16" t="inlineStr">
        <is>
          <t>لم يُجرد</t>
        </is>
      </c>
      <c r="K1099" s="14" t="n">
        <v>0</v>
      </c>
      <c r="L1099" s="14" t="n">
        <v>4</v>
      </c>
      <c r="M1099" s="5" t="inlineStr"/>
      <c r="N1099" s="5" t="inlineStr"/>
    </row>
    <row r="1100">
      <c r="A1100" s="13" t="inlineStr">
        <is>
          <t>00040401</t>
        </is>
      </c>
      <c r="B1100" s="5" t="inlineStr">
        <is>
          <t>[00040401] BABY VITA DROP 30ML</t>
        </is>
      </c>
      <c r="C1100" s="5" t="inlineStr">
        <is>
          <t>دواء</t>
        </is>
      </c>
      <c r="D1100" s="13" t="inlineStr">
        <is>
          <t>795697000999</t>
        </is>
      </c>
      <c r="E1100" s="14">
        <f>L1100-K1100</f>
        <v/>
      </c>
      <c r="F1100" s="14" t="n">
        <v>0</v>
      </c>
      <c r="G1100" s="14">
        <f>F1100-E1100</f>
        <v/>
      </c>
      <c r="H1100" s="7" t="n">
        <v>60</v>
      </c>
      <c r="I1100" s="7">
        <f>G1100*H1100</f>
        <v/>
      </c>
      <c r="J1100" s="16" t="inlineStr">
        <is>
          <t>لم يُجرد</t>
        </is>
      </c>
      <c r="K1100" s="14" t="n">
        <v>0</v>
      </c>
      <c r="L1100" s="14" t="n">
        <v>1</v>
      </c>
      <c r="M1100" s="5" t="inlineStr"/>
      <c r="N1100" s="5" t="inlineStr"/>
    </row>
    <row r="1101">
      <c r="A1101" s="13" t="inlineStr">
        <is>
          <t>0005113</t>
        </is>
      </c>
      <c r="B1101" s="5" t="inlineStr">
        <is>
          <t>[0005113] PROSTA TAB WASFA</t>
        </is>
      </c>
      <c r="C1101" s="5" t="inlineStr">
        <is>
          <t>دواء</t>
        </is>
      </c>
      <c r="D1101" s="13" t="inlineStr">
        <is>
          <t>01062851470035011719</t>
        </is>
      </c>
      <c r="E1101" s="14">
        <f>L1101-K1101</f>
        <v/>
      </c>
      <c r="F1101" s="14" t="n">
        <v>0</v>
      </c>
      <c r="G1101" s="14">
        <f>F1101-E1101</f>
        <v/>
      </c>
      <c r="H1101" s="7" t="n">
        <v>77.8</v>
      </c>
      <c r="I1101" s="7">
        <f>G1101*H1101</f>
        <v/>
      </c>
      <c r="J1101" s="16" t="inlineStr">
        <is>
          <t>لم يُجرد</t>
        </is>
      </c>
      <c r="K1101" s="14" t="n">
        <v>0</v>
      </c>
      <c r="L1101" s="14" t="n">
        <v>1</v>
      </c>
      <c r="M1101" s="5" t="inlineStr"/>
      <c r="N1101" s="5" t="inlineStr"/>
    </row>
    <row r="1102">
      <c r="A1102" s="13" t="inlineStr">
        <is>
          <t>00026187</t>
        </is>
      </c>
      <c r="B1102" s="5" t="inlineStr">
        <is>
          <t>[00026187] LYPFEN 30 CAP</t>
        </is>
      </c>
      <c r="C1102" s="5" t="inlineStr">
        <is>
          <t>دواء</t>
        </is>
      </c>
      <c r="D1102" s="13" t="inlineStr"/>
      <c r="E1102" s="14">
        <f>L1102-K1102</f>
        <v/>
      </c>
      <c r="F1102" s="14" t="n">
        <v>0</v>
      </c>
      <c r="G1102" s="14">
        <f>F1102-E1102</f>
        <v/>
      </c>
      <c r="H1102" s="7" t="n">
        <v>35.95</v>
      </c>
      <c r="I1102" s="7">
        <f>G1102*H1102</f>
        <v/>
      </c>
      <c r="J1102" s="16" t="inlineStr">
        <is>
          <t>لم يُجرد</t>
        </is>
      </c>
      <c r="K1102" s="14" t="n">
        <v>0</v>
      </c>
      <c r="L1102" s="14" t="n">
        <v>2</v>
      </c>
      <c r="M1102" s="5" t="inlineStr"/>
      <c r="N1102" s="5" t="inlineStr"/>
    </row>
    <row r="1103">
      <c r="A1103" s="13" t="inlineStr">
        <is>
          <t>0004417</t>
        </is>
      </c>
      <c r="B1103" s="5" t="inlineStr">
        <is>
          <t>[0004417] BIO YEAST FORTE 72 TAB ECKHART</t>
        </is>
      </c>
      <c r="C1103" s="5" t="inlineStr">
        <is>
          <t>دواء</t>
        </is>
      </c>
      <c r="D1103" s="13" t="inlineStr">
        <is>
          <t>714654880078</t>
        </is>
      </c>
      <c r="E1103" s="14">
        <f>L1103-K1103</f>
        <v/>
      </c>
      <c r="F1103" s="14" t="n">
        <v>0</v>
      </c>
      <c r="G1103" s="14">
        <f>F1103-E1103</f>
        <v/>
      </c>
      <c r="H1103" s="7" t="n">
        <v>98</v>
      </c>
      <c r="I1103" s="7">
        <f>G1103*H1103</f>
        <v/>
      </c>
      <c r="J1103" s="16" t="inlineStr">
        <is>
          <t>لم يُجرد</t>
        </is>
      </c>
      <c r="K1103" s="14" t="n">
        <v>0</v>
      </c>
      <c r="L1103" s="14" t="n">
        <v>1</v>
      </c>
      <c r="M1103" s="5" t="inlineStr"/>
      <c r="N1103" s="5" t="inlineStr"/>
    </row>
    <row r="1104">
      <c r="A1104" s="13" t="inlineStr">
        <is>
          <t>00022497</t>
        </is>
      </c>
      <c r="B1104" s="5" t="inlineStr">
        <is>
          <t>[00022497] LEVOZYRT 5MG 30TAB</t>
        </is>
      </c>
      <c r="C1104" s="5" t="inlineStr">
        <is>
          <t>دواء</t>
        </is>
      </c>
      <c r="D1104" s="13" t="inlineStr"/>
      <c r="E1104" s="14">
        <f>L1104-K1104</f>
        <v/>
      </c>
      <c r="F1104" s="14" t="n">
        <v>0</v>
      </c>
      <c r="G1104" s="14">
        <f>F1104-E1104</f>
        <v/>
      </c>
      <c r="H1104" s="7" t="n">
        <v>23.9</v>
      </c>
      <c r="I1104" s="7">
        <f>G1104*H1104</f>
        <v/>
      </c>
      <c r="J1104" s="16" t="inlineStr">
        <is>
          <t>لم يُجرد</t>
        </is>
      </c>
      <c r="K1104" s="14" t="n">
        <v>0</v>
      </c>
      <c r="L1104" s="14" t="n">
        <v>3</v>
      </c>
      <c r="M1104" s="5" t="inlineStr"/>
      <c r="N1104" s="5" t="inlineStr"/>
    </row>
    <row r="1105">
      <c r="A1105" s="13" t="inlineStr">
        <is>
          <t>00012842</t>
        </is>
      </c>
      <c r="B1105" s="5" t="inlineStr">
        <is>
          <t>[00012842] FUNZOL 150MG FLUCONAZOLE</t>
        </is>
      </c>
      <c r="C1105" s="5" t="inlineStr">
        <is>
          <t>دواء</t>
        </is>
      </c>
      <c r="D1105" s="13" t="inlineStr">
        <is>
          <t>01062511540530131720</t>
        </is>
      </c>
      <c r="E1105" s="14">
        <f>L1105-K1105</f>
        <v/>
      </c>
      <c r="F1105" s="14" t="n">
        <v>0</v>
      </c>
      <c r="G1105" s="14">
        <f>F1105-E1105</f>
        <v/>
      </c>
      <c r="H1105" s="7" t="n">
        <v>15.05</v>
      </c>
      <c r="I1105" s="7">
        <f>G1105*H1105</f>
        <v/>
      </c>
      <c r="J1105" s="16" t="inlineStr">
        <is>
          <t>لم يُجرد</t>
        </is>
      </c>
      <c r="K1105" s="14" t="n">
        <v>0</v>
      </c>
      <c r="L1105" s="14" t="n">
        <v>5</v>
      </c>
      <c r="M1105" s="5" t="inlineStr"/>
      <c r="N1105" s="5" t="inlineStr"/>
    </row>
    <row r="1106">
      <c r="A1106" s="13" t="inlineStr">
        <is>
          <t>0005469</t>
        </is>
      </c>
      <c r="B1106" s="5" t="inlineStr">
        <is>
          <t>[0005469] OCUGESIC 0.1% BOTTLE</t>
        </is>
      </c>
      <c r="C1106" s="5" t="inlineStr">
        <is>
          <t>دواء</t>
        </is>
      </c>
      <c r="D1106" s="13" t="inlineStr">
        <is>
          <t>06281080010163</t>
        </is>
      </c>
      <c r="E1106" s="14">
        <f>L1106-K1106</f>
        <v/>
      </c>
      <c r="F1106" s="14" t="n">
        <v>0</v>
      </c>
      <c r="G1106" s="14">
        <f>F1106-E1106</f>
        <v/>
      </c>
      <c r="H1106" s="7" t="n">
        <v>13.3</v>
      </c>
      <c r="I1106" s="7">
        <f>G1106*H1106</f>
        <v/>
      </c>
      <c r="J1106" s="16" t="inlineStr">
        <is>
          <t>لم يُجرد</t>
        </is>
      </c>
      <c r="K1106" s="14" t="n">
        <v>0</v>
      </c>
      <c r="L1106" s="14" t="n">
        <v>7</v>
      </c>
      <c r="M1106" s="5" t="inlineStr"/>
      <c r="N1106" s="5" t="inlineStr"/>
    </row>
    <row r="1107">
      <c r="A1107" s="13" t="inlineStr">
        <is>
          <t>00038081</t>
        </is>
      </c>
      <c r="B1107" s="5" t="inlineStr">
        <is>
          <t>[00038081] URO BIOTIC 30SACHETS 3811</t>
        </is>
      </c>
      <c r="C1107" s="5" t="inlineStr">
        <is>
          <t>دواء</t>
        </is>
      </c>
      <c r="D1107" s="13" t="inlineStr">
        <is>
          <t>3800003303811</t>
        </is>
      </c>
      <c r="E1107" s="14">
        <f>L1107-K1107</f>
        <v/>
      </c>
      <c r="F1107" s="14" t="n">
        <v>0</v>
      </c>
      <c r="G1107" s="14">
        <f>F1107-E1107</f>
        <v/>
      </c>
      <c r="H1107" s="7" t="n">
        <v>179</v>
      </c>
      <c r="I1107" s="7">
        <f>G1107*H1107</f>
        <v/>
      </c>
      <c r="J1107" s="16" t="inlineStr">
        <is>
          <t>لم يُجرد</t>
        </is>
      </c>
      <c r="K1107" s="14" t="n">
        <v>0</v>
      </c>
      <c r="L1107" s="14" t="n">
        <v>1</v>
      </c>
      <c r="M1107" s="5" t="inlineStr"/>
      <c r="N1107" s="5" t="inlineStr"/>
    </row>
    <row r="1108">
      <c r="A1108" s="13" t="inlineStr">
        <is>
          <t>00040870</t>
        </is>
      </c>
      <c r="B1108" s="5" t="inlineStr">
        <is>
          <t>[00040870] X Y FLUSH VAGINAL DOUCHE 2PCE 150ML 39664</t>
        </is>
      </c>
      <c r="C1108" s="5" t="inlineStr">
        <is>
          <t>دواء</t>
        </is>
      </c>
      <c r="D1108" s="13" t="inlineStr">
        <is>
          <t>6287002339664</t>
        </is>
      </c>
      <c r="E1108" s="14">
        <f>L1108-K1108</f>
        <v/>
      </c>
      <c r="F1108" s="14" t="n">
        <v>0</v>
      </c>
      <c r="G1108" s="14">
        <f>F1108-E1108</f>
        <v/>
      </c>
      <c r="H1108" s="7" t="n">
        <v>85</v>
      </c>
      <c r="I1108" s="7">
        <f>G1108*H1108</f>
        <v/>
      </c>
      <c r="J1108" s="16" t="inlineStr">
        <is>
          <t>لم يُجرد</t>
        </is>
      </c>
      <c r="K1108" s="14" t="n">
        <v>0</v>
      </c>
      <c r="L1108" s="14" t="n">
        <v>1</v>
      </c>
      <c r="M1108" s="5" t="inlineStr"/>
      <c r="N1108" s="5" t="inlineStr"/>
    </row>
    <row r="1109">
      <c r="A1109" s="13" t="inlineStr">
        <is>
          <t>00044125</t>
        </is>
      </c>
      <c r="B1109" s="5" t="inlineStr">
        <is>
          <t>[00044125] PJUR MED REPAIR 30 ML 5982</t>
        </is>
      </c>
      <c r="C1109" s="5" t="inlineStr">
        <is>
          <t>دواء</t>
        </is>
      </c>
      <c r="D1109" s="13" t="inlineStr">
        <is>
          <t>827160115982</t>
        </is>
      </c>
      <c r="E1109" s="14">
        <f>L1109-K1109</f>
        <v/>
      </c>
      <c r="F1109" s="14" t="n">
        <v>0</v>
      </c>
      <c r="G1109" s="14">
        <f>F1109-E1109</f>
        <v/>
      </c>
      <c r="H1109" s="7" t="n">
        <v>59</v>
      </c>
      <c r="I1109" s="7">
        <f>G1109*H1109</f>
        <v/>
      </c>
      <c r="J1109" s="16" t="inlineStr">
        <is>
          <t>لم يُجرد</t>
        </is>
      </c>
      <c r="K1109" s="14" t="n">
        <v>0</v>
      </c>
      <c r="L1109" s="14" t="n">
        <v>2</v>
      </c>
      <c r="M1109" s="5" t="inlineStr"/>
      <c r="N1109" s="5" t="inlineStr"/>
    </row>
    <row r="1110">
      <c r="A1110" s="13" t="inlineStr">
        <is>
          <t>0004590</t>
        </is>
      </c>
      <c r="B1110" s="5" t="inlineStr">
        <is>
          <t>[0004590] YASMIN TAB 21 TAB</t>
        </is>
      </c>
      <c r="C1110" s="5" t="inlineStr">
        <is>
          <t>دواء</t>
        </is>
      </c>
      <c r="D1110" s="13" t="inlineStr">
        <is>
          <t>01062850740005672153</t>
        </is>
      </c>
      <c r="E1110" s="14">
        <f>L1110-K1110</f>
        <v/>
      </c>
      <c r="F1110" s="14" t="n">
        <v>0</v>
      </c>
      <c r="G1110" s="14">
        <f>F1110-E1110</f>
        <v/>
      </c>
      <c r="H1110" s="7" t="n">
        <v>23.75</v>
      </c>
      <c r="I1110" s="7">
        <f>G1110*H1110</f>
        <v/>
      </c>
      <c r="J1110" s="16" t="inlineStr">
        <is>
          <t>لم يُجرد</t>
        </is>
      </c>
      <c r="K1110" s="14" t="n">
        <v>0</v>
      </c>
      <c r="L1110" s="14" t="n">
        <v>3</v>
      </c>
      <c r="M1110" s="5" t="inlineStr"/>
      <c r="N1110" s="5" t="inlineStr"/>
    </row>
    <row r="1111">
      <c r="A1111" s="13" t="inlineStr">
        <is>
          <t>00046889</t>
        </is>
      </c>
      <c r="B1111" s="5" t="inlineStr">
        <is>
          <t>[00046889] BIOFAR 12 VITAMINS &amp; MINERALS 6091</t>
        </is>
      </c>
      <c r="C1111" s="5" t="inlineStr">
        <is>
          <t>دواء</t>
        </is>
      </c>
      <c r="D1111" s="13" t="inlineStr">
        <is>
          <t>3760049896091</t>
        </is>
      </c>
      <c r="E1111" s="14">
        <f>L1111-K1111</f>
        <v/>
      </c>
      <c r="F1111" s="14" t="n">
        <v>0</v>
      </c>
      <c r="G1111" s="14">
        <f>F1111-E1111</f>
        <v/>
      </c>
      <c r="H1111" s="7" t="n">
        <v>37</v>
      </c>
      <c r="I1111" s="7">
        <f>G1111*H1111</f>
        <v/>
      </c>
      <c r="J1111" s="16" t="inlineStr">
        <is>
          <t>لم يُجرد</t>
        </is>
      </c>
      <c r="K1111" s="14" t="n">
        <v>0</v>
      </c>
      <c r="L1111" s="14" t="n">
        <v>2</v>
      </c>
      <c r="M1111" s="5" t="inlineStr"/>
      <c r="N1111" s="5" t="inlineStr"/>
    </row>
    <row r="1112">
      <c r="A1112" s="13" t="inlineStr">
        <is>
          <t>00044358</t>
        </is>
      </c>
      <c r="B1112" s="5" t="inlineStr">
        <is>
          <t>[00044358] DEFADOL SYRUP 100 ML WASFA</t>
        </is>
      </c>
      <c r="C1112" s="5" t="inlineStr">
        <is>
          <t>دواء</t>
        </is>
      </c>
      <c r="D1112" s="13" t="inlineStr"/>
      <c r="E1112" s="14">
        <f>L1112-K1112</f>
        <v/>
      </c>
      <c r="F1112" s="14" t="n">
        <v>0</v>
      </c>
      <c r="G1112" s="14">
        <f>F1112-E1112</f>
        <v/>
      </c>
      <c r="H1112" s="7" t="n">
        <v>5.9</v>
      </c>
      <c r="I1112" s="7">
        <f>G1112*H1112</f>
        <v/>
      </c>
      <c r="J1112" s="16" t="inlineStr">
        <is>
          <t>لم يُجرد</t>
        </is>
      </c>
      <c r="K1112" s="14" t="n">
        <v>0</v>
      </c>
      <c r="L1112" s="14" t="n">
        <v>12</v>
      </c>
      <c r="M1112" s="5" t="inlineStr"/>
      <c r="N1112" s="5" t="inlineStr"/>
    </row>
    <row r="1113">
      <c r="A1113" s="13" t="inlineStr">
        <is>
          <t>00037802</t>
        </is>
      </c>
      <c r="B1113" s="5" t="inlineStr">
        <is>
          <t>[00037802] CALCIVIT CALCIUM VIT D SYRUP 125ML 487 SEC</t>
        </is>
      </c>
      <c r="C1113" s="5" t="inlineStr">
        <is>
          <t>دواء</t>
        </is>
      </c>
      <c r="D1113" s="13" t="inlineStr">
        <is>
          <t>795697000487</t>
        </is>
      </c>
      <c r="E1113" s="14">
        <f>L1113-K1113</f>
        <v/>
      </c>
      <c r="F1113" s="14" t="n">
        <v>0</v>
      </c>
      <c r="G1113" s="14">
        <f>F1113-E1113</f>
        <v/>
      </c>
      <c r="H1113" s="7" t="n">
        <v>59</v>
      </c>
      <c r="I1113" s="7">
        <f>G1113*H1113</f>
        <v/>
      </c>
      <c r="J1113" s="16" t="inlineStr">
        <is>
          <t>لم يُجرد</t>
        </is>
      </c>
      <c r="K1113" s="14" t="n">
        <v>0</v>
      </c>
      <c r="L1113" s="14" t="n">
        <v>2</v>
      </c>
      <c r="M1113" s="5" t="inlineStr"/>
      <c r="N1113" s="5" t="inlineStr"/>
    </row>
    <row r="1114">
      <c r="A1114" s="13" t="inlineStr">
        <is>
          <t>00047668</t>
        </is>
      </c>
      <c r="B1114" s="5" t="inlineStr">
        <is>
          <t>[00047668] COLO-REST 30 CAP 3322</t>
        </is>
      </c>
      <c r="C1114" s="5" t="inlineStr">
        <is>
          <t>دواء</t>
        </is>
      </c>
      <c r="D1114" s="13" t="inlineStr">
        <is>
          <t>07272525233322</t>
        </is>
      </c>
      <c r="E1114" s="14">
        <f>L1114-K1114</f>
        <v/>
      </c>
      <c r="F1114" s="14" t="n">
        <v>0</v>
      </c>
      <c r="G1114" s="14">
        <f>F1114-E1114</f>
        <v/>
      </c>
      <c r="H1114" s="7" t="n">
        <v>70</v>
      </c>
      <c r="I1114" s="7">
        <f>G1114*H1114</f>
        <v/>
      </c>
      <c r="J1114" s="16" t="inlineStr">
        <is>
          <t>لم يُجرد</t>
        </is>
      </c>
      <c r="K1114" s="14" t="n">
        <v>0</v>
      </c>
      <c r="L1114" s="14" t="n">
        <v>2</v>
      </c>
      <c r="M1114" s="5" t="inlineStr"/>
      <c r="N1114" s="5" t="inlineStr"/>
    </row>
    <row r="1115">
      <c r="A1115" s="13" t="inlineStr">
        <is>
          <t>0004527</t>
        </is>
      </c>
      <c r="B1115" s="5" t="inlineStr">
        <is>
          <t>[0004527] ZINOPRIL 10MG 28 TAB</t>
        </is>
      </c>
      <c r="C1115" s="5" t="inlineStr">
        <is>
          <t>دواء</t>
        </is>
      </c>
      <c r="D1115" s="13" t="inlineStr"/>
      <c r="E1115" s="14">
        <f>L1115-K1115</f>
        <v/>
      </c>
      <c r="F1115" s="14" t="n">
        <v>0</v>
      </c>
      <c r="G1115" s="14">
        <f>F1115-E1115</f>
        <v/>
      </c>
      <c r="H1115" s="7" t="n">
        <v>26</v>
      </c>
      <c r="I1115" s="7">
        <f>G1115*H1115</f>
        <v/>
      </c>
      <c r="J1115" s="16" t="inlineStr">
        <is>
          <t>لم يُجرد</t>
        </is>
      </c>
      <c r="K1115" s="14" t="n">
        <v>0</v>
      </c>
      <c r="L1115" s="14" t="n">
        <v>3</v>
      </c>
      <c r="M1115" s="5" t="inlineStr"/>
      <c r="N1115" s="5" t="inlineStr"/>
    </row>
    <row r="1116">
      <c r="A1116" s="13" t="inlineStr">
        <is>
          <t>00034765</t>
        </is>
      </c>
      <c r="B1116" s="5" t="inlineStr">
        <is>
          <t>[00034765] FRESCOPAD 4 SHEETS COOLING GEL SHEET SITCO</t>
        </is>
      </c>
      <c r="C1116" s="5" t="inlineStr">
        <is>
          <t>دواء</t>
        </is>
      </c>
      <c r="D1116" s="13" t="inlineStr">
        <is>
          <t>6924441200017</t>
        </is>
      </c>
      <c r="E1116" s="14">
        <f>L1116-K1116</f>
        <v/>
      </c>
      <c r="F1116" s="14" t="n">
        <v>0</v>
      </c>
      <c r="G1116" s="14">
        <f>F1116-E1116</f>
        <v/>
      </c>
      <c r="H1116" s="7" t="n">
        <v>39</v>
      </c>
      <c r="I1116" s="7">
        <f>G1116*H1116</f>
        <v/>
      </c>
      <c r="J1116" s="16" t="inlineStr">
        <is>
          <t>لم يُجرد</t>
        </is>
      </c>
      <c r="K1116" s="14" t="n">
        <v>0</v>
      </c>
      <c r="L1116" s="14" t="n">
        <v>3</v>
      </c>
      <c r="M1116" s="5" t="inlineStr"/>
      <c r="N1116" s="5" t="inlineStr"/>
    </row>
    <row r="1117">
      <c r="A1117" s="13" t="inlineStr">
        <is>
          <t>0005202</t>
        </is>
      </c>
      <c r="B1117" s="5" t="inlineStr">
        <is>
          <t>[0005202] REPADERM GEL 40 GM</t>
        </is>
      </c>
      <c r="C1117" s="5" t="inlineStr">
        <is>
          <t>دواء</t>
        </is>
      </c>
      <c r="D1117" s="13" t="inlineStr">
        <is>
          <t>01062851010007821082</t>
        </is>
      </c>
      <c r="E1117" s="14">
        <f>L1117-K1117</f>
        <v/>
      </c>
      <c r="F1117" s="14" t="n">
        <v>0</v>
      </c>
      <c r="G1117" s="14">
        <f>F1117-E1117</f>
        <v/>
      </c>
      <c r="H1117" s="7" t="n">
        <v>17.5</v>
      </c>
      <c r="I1117" s="7">
        <f>G1117*H1117</f>
        <v/>
      </c>
      <c r="J1117" s="16" t="inlineStr">
        <is>
          <t>لم يُجرد</t>
        </is>
      </c>
      <c r="K1117" s="14" t="n">
        <v>0</v>
      </c>
      <c r="L1117" s="14" t="n">
        <v>4</v>
      </c>
      <c r="M1117" s="5" t="inlineStr"/>
      <c r="N1117" s="5" t="inlineStr"/>
    </row>
    <row r="1118">
      <c r="A1118" s="13" t="inlineStr">
        <is>
          <t>0004148</t>
        </is>
      </c>
      <c r="B1118" s="5" t="inlineStr">
        <is>
          <t>[0004148] AERIUS 5MG 18TAB</t>
        </is>
      </c>
      <c r="C1118" s="5" t="inlineStr">
        <is>
          <t>دواء</t>
        </is>
      </c>
      <c r="D1118" s="13" t="inlineStr">
        <is>
          <t>06285074005647</t>
        </is>
      </c>
      <c r="E1118" s="14">
        <f>L1118-K1118</f>
        <v/>
      </c>
      <c r="F1118" s="14" t="n">
        <v>0</v>
      </c>
      <c r="G1118" s="14">
        <f>F1118-E1118</f>
        <v/>
      </c>
      <c r="H1118" s="7" t="n">
        <v>23.3</v>
      </c>
      <c r="I1118" s="7">
        <f>G1118*H1118</f>
        <v/>
      </c>
      <c r="J1118" s="16" t="inlineStr">
        <is>
          <t>لم يُجرد</t>
        </is>
      </c>
      <c r="K1118" s="14" t="n">
        <v>0</v>
      </c>
      <c r="L1118" s="14" t="n">
        <v>3</v>
      </c>
      <c r="M1118" s="5" t="inlineStr"/>
      <c r="N1118" s="5" t="inlineStr"/>
    </row>
    <row r="1119">
      <c r="A1119" s="13" t="inlineStr">
        <is>
          <t>00020462</t>
        </is>
      </c>
      <c r="B1119" s="5" t="inlineStr">
        <is>
          <t>[00020462] TRUST GEL 20ML</t>
        </is>
      </c>
      <c r="C1119" s="5" t="inlineStr">
        <is>
          <t>دواء</t>
        </is>
      </c>
      <c r="D1119" s="13" t="inlineStr">
        <is>
          <t>6287002337783</t>
        </is>
      </c>
      <c r="E1119" s="14">
        <f>L1119-K1119</f>
        <v/>
      </c>
      <c r="F1119" s="14" t="n">
        <v>0</v>
      </c>
      <c r="G1119" s="14">
        <f>F1119-E1119</f>
        <v/>
      </c>
      <c r="H1119" s="7" t="n">
        <v>40</v>
      </c>
      <c r="I1119" s="7">
        <f>G1119*H1119</f>
        <v/>
      </c>
      <c r="J1119" s="16" t="inlineStr">
        <is>
          <t>لم يُجرد</t>
        </is>
      </c>
      <c r="K1119" s="14" t="n">
        <v>0</v>
      </c>
      <c r="L1119" s="14" t="n">
        <v>4</v>
      </c>
      <c r="M1119" s="5" t="inlineStr"/>
      <c r="N1119" s="5" t="inlineStr"/>
    </row>
    <row r="1120">
      <c r="A1120" s="13" t="inlineStr">
        <is>
          <t>00022782</t>
        </is>
      </c>
      <c r="B1120" s="5" t="inlineStr">
        <is>
          <t>[00022782] CANDEREL STEVIA 100 SACHETS</t>
        </is>
      </c>
      <c r="C1120" s="5" t="inlineStr">
        <is>
          <t>دواء</t>
        </is>
      </c>
      <c r="D1120" s="13" t="inlineStr">
        <is>
          <t>7630486401683</t>
        </is>
      </c>
      <c r="E1120" s="14">
        <f>L1120-K1120</f>
        <v/>
      </c>
      <c r="F1120" s="14" t="n">
        <v>0</v>
      </c>
      <c r="G1120" s="14">
        <f>F1120-E1120</f>
        <v/>
      </c>
      <c r="H1120" s="7" t="n">
        <v>25</v>
      </c>
      <c r="I1120" s="7">
        <f>G1120*H1120</f>
        <v/>
      </c>
      <c r="J1120" s="16" t="inlineStr">
        <is>
          <t>لم يُجرد</t>
        </is>
      </c>
      <c r="K1120" s="14" t="n">
        <v>0</v>
      </c>
      <c r="L1120" s="14" t="n">
        <v>3</v>
      </c>
      <c r="M1120" s="5" t="inlineStr"/>
      <c r="N1120" s="5" t="inlineStr"/>
    </row>
    <row r="1121">
      <c r="A1121" s="13" t="inlineStr">
        <is>
          <t>0004704</t>
        </is>
      </c>
      <c r="B1121" s="5" t="inlineStr">
        <is>
          <t>[0004704] TRACON 100MG 4 CAPS</t>
        </is>
      </c>
      <c r="C1121" s="5" t="inlineStr">
        <is>
          <t>دواء</t>
        </is>
      </c>
      <c r="D1121" s="13" t="inlineStr">
        <is>
          <t>01062810860020871010</t>
        </is>
      </c>
      <c r="E1121" s="14">
        <f>L1121-K1121</f>
        <v/>
      </c>
      <c r="F1121" s="14" t="n">
        <v>0</v>
      </c>
      <c r="G1121" s="14">
        <f>F1121-E1121</f>
        <v/>
      </c>
      <c r="H1121" s="7" t="n">
        <v>31.1</v>
      </c>
      <c r="I1121" s="7">
        <f>G1121*H1121</f>
        <v/>
      </c>
      <c r="J1121" s="16" t="inlineStr">
        <is>
          <t>لم يُجرد</t>
        </is>
      </c>
      <c r="K1121" s="14" t="n">
        <v>0</v>
      </c>
      <c r="L1121" s="14" t="n">
        <v>3</v>
      </c>
      <c r="M1121" s="5" t="inlineStr"/>
      <c r="N1121" s="5" t="inlineStr"/>
    </row>
    <row r="1122">
      <c r="A1122" s="13" t="inlineStr">
        <is>
          <t>00048749</t>
        </is>
      </c>
      <c r="B1122" s="5" t="inlineStr">
        <is>
          <t>[00048749] AVALON AVOHEX LOZ HONEY&amp;LEMON</t>
        </is>
      </c>
      <c r="C1122" s="5" t="inlineStr">
        <is>
          <t>دواء</t>
        </is>
      </c>
      <c r="D1122" s="13" t="inlineStr">
        <is>
          <t>06285095007651</t>
        </is>
      </c>
      <c r="E1122" s="14">
        <f>L1122-K1122</f>
        <v/>
      </c>
      <c r="F1122" s="14" t="n">
        <v>0</v>
      </c>
      <c r="G1122" s="14">
        <f>F1122-E1122</f>
        <v/>
      </c>
      <c r="H1122" s="7" t="n">
        <v>45</v>
      </c>
      <c r="I1122" s="7">
        <f>G1122*H1122</f>
        <v/>
      </c>
      <c r="J1122" s="16" t="inlineStr">
        <is>
          <t>لم يُجرد</t>
        </is>
      </c>
      <c r="K1122" s="14" t="n">
        <v>0</v>
      </c>
      <c r="L1122" s="14" t="n">
        <v>2</v>
      </c>
      <c r="M1122" s="5" t="inlineStr"/>
      <c r="N1122" s="5" t="inlineStr"/>
    </row>
    <row r="1123">
      <c r="A1123" s="13" t="inlineStr">
        <is>
          <t>00048750</t>
        </is>
      </c>
      <c r="B1123" s="5" t="inlineStr">
        <is>
          <t>[00048750] AVALON AVOHEX LOZ GINGER LEMON HONEY</t>
        </is>
      </c>
      <c r="C1123" s="5" t="inlineStr">
        <is>
          <t>دواء</t>
        </is>
      </c>
      <c r="D1123" s="13" t="inlineStr">
        <is>
          <t>06285095000584</t>
        </is>
      </c>
      <c r="E1123" s="14">
        <f>L1123-K1123</f>
        <v/>
      </c>
      <c r="F1123" s="14" t="n">
        <v>0</v>
      </c>
      <c r="G1123" s="14">
        <f>F1123-E1123</f>
        <v/>
      </c>
      <c r="H1123" s="7" t="n">
        <v>45</v>
      </c>
      <c r="I1123" s="7">
        <f>G1123*H1123</f>
        <v/>
      </c>
      <c r="J1123" s="16" t="inlineStr">
        <is>
          <t>لم يُجرد</t>
        </is>
      </c>
      <c r="K1123" s="14" t="n">
        <v>0</v>
      </c>
      <c r="L1123" s="14" t="n">
        <v>2</v>
      </c>
      <c r="M1123" s="5" t="inlineStr"/>
      <c r="N1123" s="5" t="inlineStr"/>
    </row>
    <row r="1124">
      <c r="A1124" s="13" t="inlineStr">
        <is>
          <t>00048751</t>
        </is>
      </c>
      <c r="B1124" s="5" t="inlineStr">
        <is>
          <t>[00048751] AVALON AVOHEX LOZ MINT</t>
        </is>
      </c>
      <c r="C1124" s="5" t="inlineStr">
        <is>
          <t>دواء</t>
        </is>
      </c>
      <c r="D1124" s="13" t="inlineStr">
        <is>
          <t>06285095001987</t>
        </is>
      </c>
      <c r="E1124" s="14">
        <f>L1124-K1124</f>
        <v/>
      </c>
      <c r="F1124" s="14" t="n">
        <v>0</v>
      </c>
      <c r="G1124" s="14">
        <f>F1124-E1124</f>
        <v/>
      </c>
      <c r="H1124" s="7" t="n">
        <v>45</v>
      </c>
      <c r="I1124" s="7">
        <f>G1124*H1124</f>
        <v/>
      </c>
      <c r="J1124" s="16" t="inlineStr">
        <is>
          <t>لم يُجرد</t>
        </is>
      </c>
      <c r="K1124" s="14" t="n">
        <v>0</v>
      </c>
      <c r="L1124" s="14" t="n">
        <v>2</v>
      </c>
      <c r="M1124" s="5" t="inlineStr"/>
      <c r="N1124" s="5" t="inlineStr"/>
    </row>
    <row r="1125">
      <c r="A1125" s="13" t="inlineStr">
        <is>
          <t>0003311</t>
        </is>
      </c>
      <c r="B1125" s="5" t="inlineStr">
        <is>
          <t>[0003311] LAMISIL 250 MG 14 TAB****</t>
        </is>
      </c>
      <c r="C1125" s="5" t="inlineStr">
        <is>
          <t>دواء</t>
        </is>
      </c>
      <c r="D1125" s="13" t="inlineStr">
        <is>
          <t>01076127910610971720</t>
        </is>
      </c>
      <c r="E1125" s="14">
        <f>L1125-K1125</f>
        <v/>
      </c>
      <c r="F1125" s="14" t="n">
        <v>0</v>
      </c>
      <c r="G1125" s="14">
        <f>F1125-E1125</f>
        <v/>
      </c>
      <c r="H1125" s="7" t="n">
        <v>68.84999999999999</v>
      </c>
      <c r="I1125" s="7">
        <f>G1125*H1125</f>
        <v/>
      </c>
      <c r="J1125" s="16" t="inlineStr">
        <is>
          <t>لم يُجرد</t>
        </is>
      </c>
      <c r="K1125" s="14" t="n">
        <v>0</v>
      </c>
      <c r="L1125" s="14" t="n">
        <v>1</v>
      </c>
      <c r="M1125" s="5" t="inlineStr"/>
      <c r="N1125" s="5" t="inlineStr"/>
    </row>
    <row r="1126">
      <c r="A1126" s="13" t="inlineStr">
        <is>
          <t>0003331</t>
        </is>
      </c>
      <c r="B1126" s="5" t="inlineStr">
        <is>
          <t>[0003331] ARKO TRIGLISTAB OMEGA 3 CAPS</t>
        </is>
      </c>
      <c r="C1126" s="5" t="inlineStr">
        <is>
          <t>دواء</t>
        </is>
      </c>
      <c r="D1126" s="13" t="inlineStr">
        <is>
          <t>3578830122775</t>
        </is>
      </c>
      <c r="E1126" s="14">
        <f>L1126-K1126</f>
        <v/>
      </c>
      <c r="F1126" s="14" t="n">
        <v>0</v>
      </c>
      <c r="G1126" s="14">
        <f>F1126-E1126</f>
        <v/>
      </c>
      <c r="H1126" s="7" t="n">
        <v>95</v>
      </c>
      <c r="I1126" s="7">
        <f>G1126*H1126</f>
        <v/>
      </c>
      <c r="J1126" s="16" t="inlineStr">
        <is>
          <t>لم يُجرد</t>
        </is>
      </c>
      <c r="K1126" s="14" t="n">
        <v>0</v>
      </c>
      <c r="L1126" s="14" t="n">
        <v>1</v>
      </c>
      <c r="M1126" s="5" t="inlineStr"/>
      <c r="N1126" s="5" t="inlineStr"/>
    </row>
    <row r="1127">
      <c r="A1127" s="13" t="inlineStr">
        <is>
          <t>0003379</t>
        </is>
      </c>
      <c r="B1127" s="5" t="inlineStr">
        <is>
          <t>[0003379] ARKO CUPALINE 45CAP</t>
        </is>
      </c>
      <c r="C1127" s="5" t="inlineStr">
        <is>
          <t>دواء</t>
        </is>
      </c>
      <c r="D1127" s="13" t="inlineStr">
        <is>
          <t>3578830110468</t>
        </is>
      </c>
      <c r="E1127" s="14">
        <f>L1127-K1127</f>
        <v/>
      </c>
      <c r="F1127" s="14" t="n">
        <v>0</v>
      </c>
      <c r="G1127" s="14">
        <f>F1127-E1127</f>
        <v/>
      </c>
      <c r="H1127" s="7" t="n">
        <v>89</v>
      </c>
      <c r="I1127" s="7">
        <f>G1127*H1127</f>
        <v/>
      </c>
      <c r="J1127" s="16" t="inlineStr">
        <is>
          <t>لم يُجرد</t>
        </is>
      </c>
      <c r="K1127" s="14" t="n">
        <v>0</v>
      </c>
      <c r="L1127" s="14" t="n">
        <v>1</v>
      </c>
      <c r="M1127" s="5" t="inlineStr"/>
      <c r="N1127" s="5" t="inlineStr"/>
    </row>
    <row r="1128">
      <c r="A1128" s="13" t="inlineStr">
        <is>
          <t>00021160</t>
        </is>
      </c>
      <c r="B1128" s="5" t="inlineStr">
        <is>
          <t>[00021160] AVALON AVOMEB EXTRA 15GM  OINTMENT</t>
        </is>
      </c>
      <c r="C1128" s="5" t="inlineStr">
        <is>
          <t>دواء</t>
        </is>
      </c>
      <c r="D1128" s="13" t="inlineStr"/>
      <c r="E1128" s="14">
        <f>L1128-K1128</f>
        <v/>
      </c>
      <c r="F1128" s="14" t="n">
        <v>0</v>
      </c>
      <c r="G1128" s="14">
        <f>F1128-E1128</f>
        <v/>
      </c>
      <c r="H1128" s="7" t="n">
        <v>37</v>
      </c>
      <c r="I1128" s="7">
        <f>G1128*H1128</f>
        <v/>
      </c>
      <c r="J1128" s="16" t="inlineStr">
        <is>
          <t>لم يُجرد</t>
        </is>
      </c>
      <c r="K1128" s="14" t="n">
        <v>0</v>
      </c>
      <c r="L1128" s="14" t="n">
        <v>4</v>
      </c>
      <c r="M1128" s="5" t="inlineStr"/>
      <c r="N1128" s="5" t="inlineStr"/>
    </row>
    <row r="1129">
      <c r="A1129" s="13" t="inlineStr">
        <is>
          <t>0004653</t>
        </is>
      </c>
      <c r="B1129" s="5" t="inlineStr">
        <is>
          <t>[0004653] VOLTAREN EMULGEL 50 GM</t>
        </is>
      </c>
      <c r="C1129" s="5" t="inlineStr">
        <is>
          <t>دواء</t>
        </is>
      </c>
      <c r="D1129" s="13" t="inlineStr">
        <is>
          <t>01076300354002661720</t>
        </is>
      </c>
      <c r="E1129" s="14">
        <f>L1129-K1129</f>
        <v/>
      </c>
      <c r="F1129" s="14" t="n">
        <v>0</v>
      </c>
      <c r="G1129" s="14">
        <f>F1129-E1129</f>
        <v/>
      </c>
      <c r="H1129" s="7" t="n">
        <v>17.05</v>
      </c>
      <c r="I1129" s="7">
        <f>G1129*H1129</f>
        <v/>
      </c>
      <c r="J1129" s="16" t="inlineStr">
        <is>
          <t>لم يُجرد</t>
        </is>
      </c>
      <c r="K1129" s="14" t="n">
        <v>0</v>
      </c>
      <c r="L1129" s="14" t="n">
        <v>4</v>
      </c>
      <c r="M1129" s="5" t="inlineStr"/>
      <c r="N1129" s="5" t="inlineStr"/>
    </row>
    <row r="1130">
      <c r="A1130" s="13" t="inlineStr">
        <is>
          <t>00038881</t>
        </is>
      </c>
      <c r="B1130" s="5" t="inlineStr">
        <is>
          <t>[00038881] LINAJENT 5MG 30 TAB TABUK</t>
        </is>
      </c>
      <c r="C1130" s="5" t="inlineStr">
        <is>
          <t>دواء</t>
        </is>
      </c>
      <c r="D1130" s="13" t="inlineStr"/>
      <c r="E1130" s="14">
        <f>L1130-K1130</f>
        <v/>
      </c>
      <c r="F1130" s="14" t="n">
        <v>0</v>
      </c>
      <c r="G1130" s="14">
        <f>F1130-E1130</f>
        <v/>
      </c>
      <c r="H1130" s="7" t="n">
        <v>68.05</v>
      </c>
      <c r="I1130" s="7">
        <f>G1130*H1130</f>
        <v/>
      </c>
      <c r="J1130" s="16" t="inlineStr">
        <is>
          <t>لم يُجرد</t>
        </is>
      </c>
      <c r="K1130" s="14" t="n">
        <v>0</v>
      </c>
      <c r="L1130" s="14" t="n">
        <v>1</v>
      </c>
      <c r="M1130" s="5" t="inlineStr"/>
      <c r="N1130" s="5" t="inlineStr"/>
    </row>
    <row r="1131">
      <c r="A1131" s="13" t="inlineStr">
        <is>
          <t>0005299</t>
        </is>
      </c>
      <c r="B1131" s="5" t="inlineStr">
        <is>
          <t>[0005299] PANADOL SINUS 24TAB-108</t>
        </is>
      </c>
      <c r="C1131" s="5" t="inlineStr">
        <is>
          <t>دواء</t>
        </is>
      </c>
      <c r="D1131" s="13" t="inlineStr"/>
      <c r="E1131" s="14">
        <f>L1131-K1131</f>
        <v/>
      </c>
      <c r="F1131" s="14" t="n">
        <v>0</v>
      </c>
      <c r="G1131" s="14">
        <f>F1131-E1131</f>
        <v/>
      </c>
      <c r="H1131" s="7" t="n">
        <v>13.6</v>
      </c>
      <c r="I1131" s="7">
        <f>G1131*H1131</f>
        <v/>
      </c>
      <c r="J1131" s="16" t="inlineStr">
        <is>
          <t>لم يُجرد</t>
        </is>
      </c>
      <c r="K1131" s="14" t="n">
        <v>0</v>
      </c>
      <c r="L1131" s="14" t="n">
        <v>5</v>
      </c>
      <c r="M1131" s="5" t="inlineStr"/>
      <c r="N1131" s="5" t="inlineStr"/>
    </row>
    <row r="1132">
      <c r="A1132" s="13" t="inlineStr">
        <is>
          <t>0004790</t>
        </is>
      </c>
      <c r="B1132" s="5" t="inlineStr">
        <is>
          <t>[0004790] TIDILOR 10MG 10 TAB</t>
        </is>
      </c>
      <c r="C1132" s="5" t="inlineStr">
        <is>
          <t>دواء</t>
        </is>
      </c>
      <c r="D1132" s="13" t="inlineStr">
        <is>
          <t>6251106200175</t>
        </is>
      </c>
      <c r="E1132" s="14">
        <f>L1132-K1132</f>
        <v/>
      </c>
      <c r="F1132" s="14" t="n">
        <v>0</v>
      </c>
      <c r="G1132" s="14">
        <f>F1132-E1132</f>
        <v/>
      </c>
      <c r="H1132" s="7" t="n">
        <v>13.6</v>
      </c>
      <c r="I1132" s="7">
        <f>G1132*H1132</f>
        <v/>
      </c>
      <c r="J1132" s="16" t="inlineStr">
        <is>
          <t>لم يُجرد</t>
        </is>
      </c>
      <c r="K1132" s="14" t="n">
        <v>0</v>
      </c>
      <c r="L1132" s="14" t="n">
        <v>5</v>
      </c>
      <c r="M1132" s="5" t="inlineStr"/>
      <c r="N1132" s="5" t="inlineStr"/>
    </row>
    <row r="1133">
      <c r="A1133" s="13" t="inlineStr">
        <is>
          <t>00048790</t>
        </is>
      </c>
      <c r="B1133" s="5" t="inlineStr">
        <is>
          <t>[00048790] NALFIM 30 CAP 7013</t>
        </is>
      </c>
      <c r="C1133" s="5" t="inlineStr">
        <is>
          <t>دواء</t>
        </is>
      </c>
      <c r="D1133" s="13" t="inlineStr">
        <is>
          <t>01006106441970131728113011251201107011225</t>
        </is>
      </c>
      <c r="E1133" s="14">
        <f>L1133-K1133</f>
        <v/>
      </c>
      <c r="F1133" s="14" t="n">
        <v>0</v>
      </c>
      <c r="G1133" s="14">
        <f>F1133-E1133</f>
        <v/>
      </c>
      <c r="H1133" s="7" t="n">
        <v>65</v>
      </c>
      <c r="I1133" s="7">
        <f>G1133*H1133</f>
        <v/>
      </c>
      <c r="J1133" s="16" t="inlineStr">
        <is>
          <t>لم يُجرد</t>
        </is>
      </c>
      <c r="K1133" s="14" t="n">
        <v>0</v>
      </c>
      <c r="L1133" s="14" t="n">
        <v>1</v>
      </c>
      <c r="M1133" s="5" t="inlineStr"/>
      <c r="N1133" s="5" t="inlineStr"/>
    </row>
    <row r="1134">
      <c r="A1134" s="13" t="inlineStr">
        <is>
          <t>0005673</t>
        </is>
      </c>
      <c r="B1134" s="5" t="inlineStr">
        <is>
          <t>[0005673] MEGAMOX 228 MG SUSP 70 ML</t>
        </is>
      </c>
      <c r="C1134" s="5" t="inlineStr">
        <is>
          <t>دواء</t>
        </is>
      </c>
      <c r="D1134" s="13" t="inlineStr">
        <is>
          <t>06285101000249</t>
        </is>
      </c>
      <c r="E1134" s="14">
        <f>L1134-K1134</f>
        <v/>
      </c>
      <c r="F1134" s="14" t="n">
        <v>0</v>
      </c>
      <c r="G1134" s="14">
        <f>F1134-E1134</f>
        <v/>
      </c>
      <c r="H1134" s="7" t="n">
        <v>16.95</v>
      </c>
      <c r="I1134" s="7">
        <f>G1134*H1134</f>
        <v/>
      </c>
      <c r="J1134" s="16" t="inlineStr">
        <is>
          <t>لم يُجرد</t>
        </is>
      </c>
      <c r="K1134" s="14" t="n">
        <v>0</v>
      </c>
      <c r="L1134" s="14" t="n">
        <v>4</v>
      </c>
      <c r="M1134" s="5" t="inlineStr"/>
      <c r="N1134" s="5" t="inlineStr"/>
    </row>
    <row r="1135">
      <c r="A1135" s="13" t="inlineStr">
        <is>
          <t>0004409</t>
        </is>
      </c>
      <c r="B1135" s="5" t="inlineStr">
        <is>
          <t>[0004409] ACILOC 40MG 14CAP</t>
        </is>
      </c>
      <c r="C1135" s="5" t="inlineStr">
        <is>
          <t>دواء</t>
        </is>
      </c>
      <c r="D1135" s="13" t="inlineStr">
        <is>
          <t>06285128017541</t>
        </is>
      </c>
      <c r="E1135" s="14">
        <f>L1135-K1135</f>
        <v/>
      </c>
      <c r="F1135" s="14" t="n">
        <v>0</v>
      </c>
      <c r="G1135" s="14">
        <f>F1135-E1135</f>
        <v/>
      </c>
      <c r="H1135" s="7" t="n">
        <v>61</v>
      </c>
      <c r="I1135" s="7">
        <f>G1135*H1135</f>
        <v/>
      </c>
      <c r="J1135" s="16" t="inlineStr">
        <is>
          <t>لم يُجرد</t>
        </is>
      </c>
      <c r="K1135" s="14" t="n">
        <v>0</v>
      </c>
      <c r="L1135" s="14" t="n">
        <v>2</v>
      </c>
      <c r="M1135" s="5" t="inlineStr"/>
      <c r="N1135" s="5" t="inlineStr"/>
    </row>
    <row r="1136">
      <c r="A1136" s="13" t="inlineStr">
        <is>
          <t>0003625</t>
        </is>
      </c>
      <c r="B1136" s="5" t="inlineStr">
        <is>
          <t>[0003625] FOLICUM 1MG 20TAB</t>
        </is>
      </c>
      <c r="C1136" s="5" t="inlineStr">
        <is>
          <t>دواء</t>
        </is>
      </c>
      <c r="D1136" s="13" t="inlineStr">
        <is>
          <t>01062911000819981721</t>
        </is>
      </c>
      <c r="E1136" s="14">
        <f>L1136-K1136</f>
        <v/>
      </c>
      <c r="F1136" s="14" t="n">
        <v>0</v>
      </c>
      <c r="G1136" s="14">
        <f>F1136-E1136</f>
        <v/>
      </c>
      <c r="H1136" s="7" t="n">
        <v>6.15</v>
      </c>
      <c r="I1136" s="7">
        <f>G1136*H1136</f>
        <v/>
      </c>
      <c r="J1136" s="16" t="inlineStr">
        <is>
          <t>لم يُجرد</t>
        </is>
      </c>
      <c r="K1136" s="14" t="n">
        <v>0</v>
      </c>
      <c r="L1136" s="14" t="n">
        <v>11</v>
      </c>
      <c r="M1136" s="5" t="inlineStr"/>
      <c r="N1136" s="5" t="inlineStr"/>
    </row>
    <row r="1137">
      <c r="A1137" s="13" t="inlineStr">
        <is>
          <t>00047902</t>
        </is>
      </c>
      <c r="B1137" s="5" t="inlineStr">
        <is>
          <t>[00047902] VITA SMART 30 TAB 7808</t>
        </is>
      </c>
      <c r="C1137" s="5" t="inlineStr">
        <is>
          <t>دواء</t>
        </is>
      </c>
      <c r="D1137" s="13" t="inlineStr">
        <is>
          <t>721688167808</t>
        </is>
      </c>
      <c r="E1137" s="14">
        <f>L1137-K1137</f>
        <v/>
      </c>
      <c r="F1137" s="14" t="n">
        <v>0</v>
      </c>
      <c r="G1137" s="14">
        <f>F1137-E1137</f>
        <v/>
      </c>
      <c r="H1137" s="7" t="n">
        <v>94</v>
      </c>
      <c r="I1137" s="7">
        <f>G1137*H1137</f>
        <v/>
      </c>
      <c r="J1137" s="16" t="inlineStr">
        <is>
          <t>لم يُجرد</t>
        </is>
      </c>
      <c r="K1137" s="14" t="n">
        <v>0</v>
      </c>
      <c r="L1137" s="14" t="n">
        <v>1</v>
      </c>
      <c r="M1137" s="5" t="inlineStr"/>
      <c r="N1137" s="5" t="inlineStr"/>
    </row>
    <row r="1138">
      <c r="A1138" s="13" t="inlineStr">
        <is>
          <t>00042142</t>
        </is>
      </c>
      <c r="B1138" s="5" t="inlineStr">
        <is>
          <t>[00042142] ASHWAGANDHA  NAFEES PH 60CAP 3266</t>
        </is>
      </c>
      <c r="C1138" s="5" t="inlineStr">
        <is>
          <t>دواء</t>
        </is>
      </c>
      <c r="D1138" s="13" t="inlineStr">
        <is>
          <t>198715043266</t>
        </is>
      </c>
      <c r="E1138" s="14">
        <f>L1138-K1138</f>
        <v/>
      </c>
      <c r="F1138" s="14" t="n">
        <v>0</v>
      </c>
      <c r="G1138" s="14">
        <f>F1138-E1138</f>
        <v/>
      </c>
      <c r="H1138" s="7" t="n">
        <v>85</v>
      </c>
      <c r="I1138" s="7">
        <f>G1138*H1138</f>
        <v/>
      </c>
      <c r="J1138" s="16" t="inlineStr">
        <is>
          <t>لم يُجرد</t>
        </is>
      </c>
      <c r="K1138" s="14" t="n">
        <v>0</v>
      </c>
      <c r="L1138" s="14" t="n">
        <v>1</v>
      </c>
      <c r="M1138" s="5" t="inlineStr"/>
      <c r="N1138" s="5" t="inlineStr"/>
    </row>
    <row r="1139">
      <c r="A1139" s="13" t="inlineStr">
        <is>
          <t>0003909</t>
        </is>
      </c>
      <c r="B1139" s="5" t="inlineStr">
        <is>
          <t>[0003909] DEEP HEAT RUB 67GM</t>
        </is>
      </c>
      <c r="C1139" s="5" t="inlineStr">
        <is>
          <t>دواء</t>
        </is>
      </c>
      <c r="D1139" s="13" t="inlineStr">
        <is>
          <t>5011501040131</t>
        </is>
      </c>
      <c r="E1139" s="14">
        <f>L1139-K1139</f>
        <v/>
      </c>
      <c r="F1139" s="14" t="n">
        <v>0</v>
      </c>
      <c r="G1139" s="14">
        <f>F1139-E1139</f>
        <v/>
      </c>
      <c r="H1139" s="7" t="n">
        <v>33.75</v>
      </c>
      <c r="I1139" s="7">
        <f>G1139*H1139</f>
        <v/>
      </c>
      <c r="J1139" s="16" t="inlineStr">
        <is>
          <t>لم يُجرد</t>
        </is>
      </c>
      <c r="K1139" s="14" t="n">
        <v>0</v>
      </c>
      <c r="L1139" s="14" t="n">
        <v>2</v>
      </c>
      <c r="M1139" s="5" t="inlineStr"/>
      <c r="N1139" s="5" t="inlineStr"/>
    </row>
    <row r="1140">
      <c r="A1140" s="13" t="inlineStr">
        <is>
          <t>00039269</t>
        </is>
      </c>
      <c r="B1140" s="5" t="inlineStr">
        <is>
          <t>[00039269] HEAL CARE CREAM 75 GM SPI 1042</t>
        </is>
      </c>
      <c r="C1140" s="5" t="inlineStr">
        <is>
          <t>دواء</t>
        </is>
      </c>
      <c r="D1140" s="13" t="inlineStr">
        <is>
          <t>6288030001042</t>
        </is>
      </c>
      <c r="E1140" s="14">
        <f>L1140-K1140</f>
        <v/>
      </c>
      <c r="F1140" s="14" t="n">
        <v>0</v>
      </c>
      <c r="G1140" s="14">
        <f>F1140-E1140</f>
        <v/>
      </c>
      <c r="H1140" s="7" t="n">
        <v>49</v>
      </c>
      <c r="I1140" s="7">
        <f>G1140*H1140</f>
        <v/>
      </c>
      <c r="J1140" s="16" t="inlineStr">
        <is>
          <t>لم يُجرد</t>
        </is>
      </c>
      <c r="K1140" s="14" t="n">
        <v>0</v>
      </c>
      <c r="L1140" s="14" t="n">
        <v>2</v>
      </c>
      <c r="M1140" s="5" t="inlineStr"/>
      <c r="N1140" s="5" t="inlineStr"/>
    </row>
    <row r="1141">
      <c r="A1141" s="13" t="inlineStr">
        <is>
          <t>00035050</t>
        </is>
      </c>
      <c r="B1141" s="5" t="inlineStr">
        <is>
          <t>[00035050] CO LIGHT 30CAP</t>
        </is>
      </c>
      <c r="C1141" s="5" t="inlineStr">
        <is>
          <t>دواء</t>
        </is>
      </c>
      <c r="D1141" s="13" t="inlineStr">
        <is>
          <t>795044248289</t>
        </is>
      </c>
      <c r="E1141" s="14">
        <f>L1141-K1141</f>
        <v/>
      </c>
      <c r="F1141" s="14" t="n">
        <v>0</v>
      </c>
      <c r="G1141" s="14">
        <f>F1141-E1141</f>
        <v/>
      </c>
      <c r="H1141" s="7" t="n">
        <v>130</v>
      </c>
      <c r="I1141" s="7">
        <f>G1141*H1141</f>
        <v/>
      </c>
      <c r="J1141" s="16" t="inlineStr">
        <is>
          <t>لم يُجرد</t>
        </is>
      </c>
      <c r="K1141" s="14" t="n">
        <v>0</v>
      </c>
      <c r="L1141" s="14" t="n">
        <v>1</v>
      </c>
      <c r="M1141" s="5" t="inlineStr"/>
      <c r="N1141" s="5" t="inlineStr"/>
    </row>
    <row r="1142">
      <c r="A1142" s="13" t="inlineStr">
        <is>
          <t>0004330</t>
        </is>
      </c>
      <c r="B1142" s="5" t="inlineStr">
        <is>
          <t>[0004330] CEFUZIME 500MG 10TAB</t>
        </is>
      </c>
      <c r="C1142" s="5" t="inlineStr">
        <is>
          <t>دواء</t>
        </is>
      </c>
      <c r="D1142" s="13" t="inlineStr">
        <is>
          <t>06291100081769</t>
        </is>
      </c>
      <c r="E1142" s="14">
        <f>L1142-K1142</f>
        <v/>
      </c>
      <c r="F1142" s="14" t="n">
        <v>0</v>
      </c>
      <c r="G1142" s="14">
        <f>F1142-E1142</f>
        <v/>
      </c>
      <c r="H1142" s="7" t="n">
        <v>63.95</v>
      </c>
      <c r="I1142" s="7">
        <f>G1142*H1142</f>
        <v/>
      </c>
      <c r="J1142" s="16" t="inlineStr">
        <is>
          <t>لم يُجرد</t>
        </is>
      </c>
      <c r="K1142" s="14" t="n">
        <v>0</v>
      </c>
      <c r="L1142" s="14" t="n">
        <v>1</v>
      </c>
      <c r="M1142" s="5" t="inlineStr"/>
      <c r="N1142" s="5" t="inlineStr"/>
    </row>
    <row r="1143">
      <c r="A1143" s="13" t="inlineStr">
        <is>
          <t>00021093</t>
        </is>
      </c>
      <c r="B1143" s="5" t="inlineStr">
        <is>
          <t>[00021093] VDIA 50 MG 28 TAB</t>
        </is>
      </c>
      <c r="C1143" s="5" t="inlineStr">
        <is>
          <t>دواء</t>
        </is>
      </c>
      <c r="D1143" s="13" t="inlineStr"/>
      <c r="E1143" s="14">
        <f>L1143-K1143</f>
        <v/>
      </c>
      <c r="F1143" s="14" t="n">
        <v>0</v>
      </c>
      <c r="G1143" s="14">
        <f>F1143-E1143</f>
        <v/>
      </c>
      <c r="H1143" s="7" t="n">
        <v>33.25</v>
      </c>
      <c r="I1143" s="7">
        <f>G1143*H1143</f>
        <v/>
      </c>
      <c r="J1143" s="16" t="inlineStr">
        <is>
          <t>لم يُجرد</t>
        </is>
      </c>
      <c r="K1143" s="14" t="n">
        <v>0</v>
      </c>
      <c r="L1143" s="14" t="n">
        <v>2</v>
      </c>
      <c r="M1143" s="5" t="inlineStr"/>
      <c r="N1143" s="5" t="inlineStr"/>
    </row>
    <row r="1144">
      <c r="A1144" s="13" t="inlineStr">
        <is>
          <t>0005290</t>
        </is>
      </c>
      <c r="B1144" s="5" t="inlineStr">
        <is>
          <t>[0005290] PANDERM CREAM 15GM</t>
        </is>
      </c>
      <c r="C1144" s="5" t="inlineStr">
        <is>
          <t>دواء</t>
        </is>
      </c>
      <c r="D1144" s="13" t="inlineStr">
        <is>
          <t>06291100080434</t>
        </is>
      </c>
      <c r="E1144" s="14">
        <f>L1144-K1144</f>
        <v/>
      </c>
      <c r="F1144" s="14" t="n">
        <v>0</v>
      </c>
      <c r="G1144" s="14">
        <f>F1144-E1144</f>
        <v/>
      </c>
      <c r="H1144" s="7" t="n">
        <v>11.05</v>
      </c>
      <c r="I1144" s="7">
        <f>G1144*H1144</f>
        <v/>
      </c>
      <c r="J1144" s="16" t="inlineStr">
        <is>
          <t>لم يُجرد</t>
        </is>
      </c>
      <c r="K1144" s="14" t="n">
        <v>0</v>
      </c>
      <c r="L1144" s="14" t="n">
        <v>6</v>
      </c>
      <c r="M1144" s="5" t="inlineStr"/>
      <c r="N1144" s="5" t="inlineStr"/>
    </row>
    <row r="1145">
      <c r="A1145" s="13" t="inlineStr">
        <is>
          <t>00044428</t>
        </is>
      </c>
      <c r="B1145" s="5" t="inlineStr">
        <is>
          <t>[00044428] ENZY STAR 000589</t>
        </is>
      </c>
      <c r="C1145" s="5" t="inlineStr">
        <is>
          <t>دواء</t>
        </is>
      </c>
      <c r="D1145" s="13" t="inlineStr">
        <is>
          <t>6286127000589</t>
        </is>
      </c>
      <c r="E1145" s="14">
        <f>L1145-K1145</f>
        <v/>
      </c>
      <c r="F1145" s="14" t="n">
        <v>0</v>
      </c>
      <c r="G1145" s="14">
        <f>F1145-E1145</f>
        <v/>
      </c>
      <c r="H1145" s="7" t="n">
        <v>104</v>
      </c>
      <c r="I1145" s="7">
        <f>G1145*H1145</f>
        <v/>
      </c>
      <c r="J1145" s="16" t="inlineStr">
        <is>
          <t>لم يُجرد</t>
        </is>
      </c>
      <c r="K1145" s="14" t="n">
        <v>0</v>
      </c>
      <c r="L1145" s="14" t="n">
        <v>1</v>
      </c>
      <c r="M1145" s="5" t="inlineStr"/>
      <c r="N1145" s="5" t="inlineStr"/>
    </row>
    <row r="1146">
      <c r="A1146" s="13" t="inlineStr">
        <is>
          <t>0004957</t>
        </is>
      </c>
      <c r="B1146" s="5" t="inlineStr">
        <is>
          <t>[0004957] FEROGLOBIN SYR 200 ML</t>
        </is>
      </c>
      <c r="C1146" s="5" t="inlineStr">
        <is>
          <t>دواء</t>
        </is>
      </c>
      <c r="D1146" s="13" t="inlineStr">
        <is>
          <t>5021265231119</t>
        </is>
      </c>
      <c r="E1146" s="14">
        <f>L1146-K1146</f>
        <v/>
      </c>
      <c r="F1146" s="14" t="n">
        <v>0</v>
      </c>
      <c r="G1146" s="14">
        <f>F1146-E1146</f>
        <v/>
      </c>
      <c r="H1146" s="7" t="n">
        <v>20.4</v>
      </c>
      <c r="I1146" s="7">
        <f>G1146*H1146</f>
        <v/>
      </c>
      <c r="J1146" s="16" t="inlineStr">
        <is>
          <t>لم يُجرد</t>
        </is>
      </c>
      <c r="K1146" s="14" t="n">
        <v>0</v>
      </c>
      <c r="L1146" s="14" t="n">
        <v>4</v>
      </c>
      <c r="M1146" s="5" t="inlineStr"/>
      <c r="N1146" s="5" t="inlineStr"/>
    </row>
    <row r="1147">
      <c r="A1147" s="13" t="inlineStr">
        <is>
          <t>0003771</t>
        </is>
      </c>
      <c r="B1147" s="5" t="inlineStr">
        <is>
          <t>[0003771] FEVADOL 200 MG SUPP</t>
        </is>
      </c>
      <c r="C1147" s="5" t="inlineStr">
        <is>
          <t>دواء</t>
        </is>
      </c>
      <c r="D1147" s="13" t="inlineStr">
        <is>
          <t>06281086010846</t>
        </is>
      </c>
      <c r="E1147" s="14">
        <f>L1147-K1147</f>
        <v/>
      </c>
      <c r="F1147" s="14" t="n">
        <v>0</v>
      </c>
      <c r="G1147" s="14">
        <f>F1147-E1147</f>
        <v/>
      </c>
      <c r="H1147" s="7" t="n">
        <v>8.9</v>
      </c>
      <c r="I1147" s="7">
        <f>G1147*H1147</f>
        <v/>
      </c>
      <c r="J1147" s="16" t="inlineStr">
        <is>
          <t>لم يُجرد</t>
        </is>
      </c>
      <c r="K1147" s="14" t="n">
        <v>0</v>
      </c>
      <c r="L1147" s="14" t="n">
        <v>9</v>
      </c>
      <c r="M1147" s="5" t="inlineStr"/>
      <c r="N1147" s="5" t="inlineStr"/>
    </row>
    <row r="1148">
      <c r="A1148" s="13" t="inlineStr">
        <is>
          <t>0003407</t>
        </is>
      </c>
      <c r="B1148" s="5" t="inlineStr">
        <is>
          <t>[0003407] ARKO AZINC OPTIMAL 50CAP</t>
        </is>
      </c>
      <c r="C1148" s="5" t="inlineStr">
        <is>
          <t>دواء</t>
        </is>
      </c>
      <c r="D1148" s="13" t="inlineStr">
        <is>
          <t>3578830123536</t>
        </is>
      </c>
      <c r="E1148" s="14">
        <f>L1148-K1148</f>
        <v/>
      </c>
      <c r="F1148" s="14" t="n">
        <v>0</v>
      </c>
      <c r="G1148" s="14">
        <f>F1148-E1148</f>
        <v/>
      </c>
      <c r="H1148" s="7" t="n">
        <v>33</v>
      </c>
      <c r="I1148" s="7">
        <f>G1148*H1148</f>
        <v/>
      </c>
      <c r="J1148" s="16" t="inlineStr">
        <is>
          <t>لم يُجرد</t>
        </is>
      </c>
      <c r="K1148" s="14" t="n">
        <v>0</v>
      </c>
      <c r="L1148" s="14" t="n">
        <v>2</v>
      </c>
      <c r="M1148" s="5" t="inlineStr"/>
      <c r="N1148" s="5" t="inlineStr"/>
    </row>
    <row r="1149">
      <c r="A1149" s="13" t="inlineStr">
        <is>
          <t>00019496</t>
        </is>
      </c>
      <c r="B1149" s="5" t="inlineStr">
        <is>
          <t>[00019496] EYLOX EYE DROPS</t>
        </is>
      </c>
      <c r="C1149" s="5" t="inlineStr">
        <is>
          <t>دواء</t>
        </is>
      </c>
      <c r="D1149" s="13" t="inlineStr">
        <is>
          <t>06251151000461</t>
        </is>
      </c>
      <c r="E1149" s="14">
        <f>L1149-K1149</f>
        <v/>
      </c>
      <c r="F1149" s="14" t="n">
        <v>0</v>
      </c>
      <c r="G1149" s="14">
        <f>F1149-E1149</f>
        <v/>
      </c>
      <c r="H1149" s="7" t="n">
        <v>13.15</v>
      </c>
      <c r="I1149" s="7">
        <f>G1149*H1149</f>
        <v/>
      </c>
      <c r="J1149" s="16" t="inlineStr">
        <is>
          <t>لم يُجرد</t>
        </is>
      </c>
      <c r="K1149" s="14" t="n">
        <v>0</v>
      </c>
      <c r="L1149" s="14" t="n">
        <v>5</v>
      </c>
      <c r="M1149" s="5" t="inlineStr"/>
      <c r="N1149" s="5" t="inlineStr"/>
    </row>
    <row r="1150">
      <c r="A1150" s="13" t="inlineStr">
        <is>
          <t>0005693</t>
        </is>
      </c>
      <c r="B1150" s="5" t="inlineStr">
        <is>
          <t>[0005693] METHYCOBAL 500MG 30TAB</t>
        </is>
      </c>
      <c r="C1150" s="5" t="inlineStr">
        <is>
          <t>دواء</t>
        </is>
      </c>
      <c r="D1150" s="13" t="inlineStr">
        <is>
          <t>14987028666926</t>
        </is>
      </c>
      <c r="E1150" s="14">
        <f>L1150-K1150</f>
        <v/>
      </c>
      <c r="F1150" s="14" t="n">
        <v>0</v>
      </c>
      <c r="G1150" s="14">
        <f>F1150-E1150</f>
        <v/>
      </c>
      <c r="H1150" s="7" t="n">
        <v>24</v>
      </c>
      <c r="I1150" s="7">
        <f>G1150*H1150</f>
        <v/>
      </c>
      <c r="J1150" s="16" t="inlineStr">
        <is>
          <t>لم يُجرد</t>
        </is>
      </c>
      <c r="K1150" s="14" t="n">
        <v>0</v>
      </c>
      <c r="L1150" s="14" t="n">
        <v>3</v>
      </c>
      <c r="M1150" s="5" t="inlineStr"/>
      <c r="N1150" s="5" t="inlineStr"/>
    </row>
    <row r="1151">
      <c r="A1151" s="13" t="inlineStr">
        <is>
          <t>0004182</t>
        </is>
      </c>
      <c r="B1151" s="5" t="inlineStr">
        <is>
          <t>[0004182] DALACIN C 300 MG 16 CAPS</t>
        </is>
      </c>
      <c r="C1151" s="5" t="inlineStr">
        <is>
          <t>دواء</t>
        </is>
      </c>
      <c r="D1151" s="13" t="inlineStr">
        <is>
          <t>01054150620025061719</t>
        </is>
      </c>
      <c r="E1151" s="14">
        <f>L1151-K1151</f>
        <v/>
      </c>
      <c r="F1151" s="14" t="n">
        <v>0</v>
      </c>
      <c r="G1151" s="14">
        <f>F1151-E1151</f>
        <v/>
      </c>
      <c r="H1151" s="7" t="n">
        <v>32.8</v>
      </c>
      <c r="I1151" s="7">
        <f>G1151*H1151</f>
        <v/>
      </c>
      <c r="J1151" s="16" t="inlineStr">
        <is>
          <t>لم يُجرد</t>
        </is>
      </c>
      <c r="K1151" s="14" t="n">
        <v>0</v>
      </c>
      <c r="L1151" s="14" t="n">
        <v>2</v>
      </c>
      <c r="M1151" s="5" t="inlineStr"/>
      <c r="N1151" s="5" t="inlineStr"/>
    </row>
    <row r="1152">
      <c r="A1152" s="13" t="inlineStr">
        <is>
          <t>0003770</t>
        </is>
      </c>
      <c r="B1152" s="5" t="inlineStr">
        <is>
          <t>[0003770] FEVADOL 100 MG SUPP</t>
        </is>
      </c>
      <c r="C1152" s="5" t="inlineStr">
        <is>
          <t>دواء</t>
        </is>
      </c>
      <c r="D1152" s="13" t="inlineStr">
        <is>
          <t>06281086010839</t>
        </is>
      </c>
      <c r="E1152" s="14">
        <f>L1152-K1152</f>
        <v/>
      </c>
      <c r="F1152" s="14" t="n">
        <v>0</v>
      </c>
      <c r="G1152" s="14">
        <f>F1152-E1152</f>
        <v/>
      </c>
      <c r="H1152" s="7" t="n">
        <v>7.95</v>
      </c>
      <c r="I1152" s="7">
        <f>G1152*H1152</f>
        <v/>
      </c>
      <c r="J1152" s="16" t="inlineStr">
        <is>
          <t>لم يُجرد</t>
        </is>
      </c>
      <c r="K1152" s="14" t="n">
        <v>0</v>
      </c>
      <c r="L1152" s="14" t="n">
        <v>10</v>
      </c>
      <c r="M1152" s="5" t="inlineStr"/>
      <c r="N1152" s="5" t="inlineStr"/>
    </row>
    <row r="1153">
      <c r="A1153" s="13" t="inlineStr">
        <is>
          <t>0003998</t>
        </is>
      </c>
      <c r="B1153" s="5" t="inlineStr">
        <is>
          <t>[0003998] ALFACORT 1% OINT 15GM</t>
        </is>
      </c>
      <c r="C1153" s="5" t="inlineStr">
        <is>
          <t>دواء</t>
        </is>
      </c>
      <c r="D1153" s="13" t="inlineStr">
        <is>
          <t>06291100081066</t>
        </is>
      </c>
      <c r="E1153" s="14">
        <f>L1153-K1153</f>
        <v/>
      </c>
      <c r="F1153" s="14" t="n">
        <v>0</v>
      </c>
      <c r="G1153" s="14">
        <f>F1153-E1153</f>
        <v/>
      </c>
      <c r="H1153" s="7" t="n">
        <v>8.199999999999999</v>
      </c>
      <c r="I1153" s="7">
        <f>G1153*H1153</f>
        <v/>
      </c>
      <c r="J1153" s="16" t="inlineStr">
        <is>
          <t>لم يُجرد</t>
        </is>
      </c>
      <c r="K1153" s="14" t="n">
        <v>0</v>
      </c>
      <c r="L1153" s="14" t="n">
        <v>8</v>
      </c>
      <c r="M1153" s="5" t="inlineStr"/>
      <c r="N1153" s="5" t="inlineStr"/>
    </row>
    <row r="1154">
      <c r="A1154" s="13" t="inlineStr">
        <is>
          <t>0003474</t>
        </is>
      </c>
      <c r="B1154" s="5" t="inlineStr">
        <is>
          <t>[0003474] ARBITEN 160 30TAB</t>
        </is>
      </c>
      <c r="C1154" s="5" t="inlineStr">
        <is>
          <t>دواء</t>
        </is>
      </c>
      <c r="D1154" s="13" t="inlineStr">
        <is>
          <t>6251599000849</t>
        </is>
      </c>
      <c r="E1154" s="14">
        <f>L1154-K1154</f>
        <v/>
      </c>
      <c r="F1154" s="14" t="n">
        <v>0</v>
      </c>
      <c r="G1154" s="14">
        <f>F1154-E1154</f>
        <v/>
      </c>
      <c r="H1154" s="7" t="n">
        <v>32.5</v>
      </c>
      <c r="I1154" s="7">
        <f>G1154*H1154</f>
        <v/>
      </c>
      <c r="J1154" s="16" t="inlineStr">
        <is>
          <t>لم يُجرد</t>
        </is>
      </c>
      <c r="K1154" s="14" t="n">
        <v>0</v>
      </c>
      <c r="L1154" s="14" t="n">
        <v>2</v>
      </c>
      <c r="M1154" s="5" t="inlineStr"/>
      <c r="N1154" s="5" t="inlineStr"/>
    </row>
    <row r="1155">
      <c r="A1155" s="13" t="inlineStr">
        <is>
          <t>0003334</t>
        </is>
      </c>
      <c r="B1155" s="5" t="inlineStr">
        <is>
          <t>[0003334] LACINE 50MG 30TAP</t>
        </is>
      </c>
      <c r="C1155" s="5" t="inlineStr">
        <is>
          <t>دواء</t>
        </is>
      </c>
      <c r="D1155" s="13" t="inlineStr">
        <is>
          <t>666665478</t>
        </is>
      </c>
      <c r="E1155" s="14">
        <f>L1155-K1155</f>
        <v/>
      </c>
      <c r="F1155" s="14" t="n">
        <v>0</v>
      </c>
      <c r="G1155" s="14">
        <f>F1155-E1155</f>
        <v/>
      </c>
      <c r="H1155" s="7" t="n">
        <v>42.2</v>
      </c>
      <c r="I1155" s="7">
        <f>G1155*H1155</f>
        <v/>
      </c>
      <c r="J1155" s="16" t="inlineStr">
        <is>
          <t>لم يُجرد</t>
        </is>
      </c>
      <c r="K1155" s="14" t="n">
        <v>0</v>
      </c>
      <c r="L1155" s="14" t="n">
        <v>2</v>
      </c>
      <c r="M1155" s="5" t="inlineStr"/>
      <c r="N1155" s="5" t="inlineStr"/>
    </row>
    <row r="1156">
      <c r="A1156" s="13" t="inlineStr">
        <is>
          <t>0004709</t>
        </is>
      </c>
      <c r="B1156" s="5" t="inlineStr">
        <is>
          <t>[0004709] TUSSIPAN SYRUP 150 ML</t>
        </is>
      </c>
      <c r="C1156" s="5" t="inlineStr">
        <is>
          <t>دواء</t>
        </is>
      </c>
      <c r="D1156" s="13" t="inlineStr"/>
      <c r="E1156" s="14">
        <f>L1156-K1156</f>
        <v/>
      </c>
      <c r="F1156" s="14" t="n">
        <v>0</v>
      </c>
      <c r="G1156" s="14">
        <f>F1156-E1156</f>
        <v/>
      </c>
      <c r="H1156" s="7" t="n">
        <v>49.75</v>
      </c>
      <c r="I1156" s="7">
        <f>G1156*H1156</f>
        <v/>
      </c>
      <c r="J1156" s="16" t="inlineStr">
        <is>
          <t>لم يُجرد</t>
        </is>
      </c>
      <c r="K1156" s="14" t="n">
        <v>0</v>
      </c>
      <c r="L1156" s="14" t="n">
        <v>7</v>
      </c>
      <c r="M1156" s="5" t="inlineStr"/>
      <c r="N1156" s="5" t="inlineStr"/>
    </row>
    <row r="1157">
      <c r="A1157" s="13" t="inlineStr">
        <is>
          <t>0005704</t>
        </is>
      </c>
      <c r="B1157" s="5" t="inlineStr">
        <is>
          <t>[0005704] MICONAZ POWDER WASFA</t>
        </is>
      </c>
      <c r="C1157" s="5" t="inlineStr">
        <is>
          <t>دواء</t>
        </is>
      </c>
      <c r="D1157" s="13" t="inlineStr">
        <is>
          <t>01062215080501111720</t>
        </is>
      </c>
      <c r="E1157" s="14">
        <f>L1157-K1157</f>
        <v/>
      </c>
      <c r="F1157" s="14" t="n">
        <v>0</v>
      </c>
      <c r="G1157" s="14">
        <f>F1157-E1157</f>
        <v/>
      </c>
      <c r="H1157" s="7" t="n">
        <v>10.8</v>
      </c>
      <c r="I1157" s="7">
        <f>G1157*H1157</f>
        <v/>
      </c>
      <c r="J1157" s="16" t="inlineStr">
        <is>
          <t>لم يُجرد</t>
        </is>
      </c>
      <c r="K1157" s="14" t="n">
        <v>0</v>
      </c>
      <c r="L1157" s="14" t="n">
        <v>6</v>
      </c>
      <c r="M1157" s="5" t="inlineStr"/>
      <c r="N1157" s="5" t="inlineStr"/>
    </row>
    <row r="1158">
      <c r="A1158" s="13" t="inlineStr">
        <is>
          <t>0005761</t>
        </is>
      </c>
      <c r="B1158" s="5" t="inlineStr">
        <is>
          <t>[0005761] ASTATIN 10 MG 30 TABLETS</t>
        </is>
      </c>
      <c r="C1158" s="5" t="inlineStr">
        <is>
          <t>دواء</t>
        </is>
      </c>
      <c r="D1158" s="13" t="inlineStr">
        <is>
          <t>06285128000147</t>
        </is>
      </c>
      <c r="E1158" s="14">
        <f>L1158-K1158</f>
        <v/>
      </c>
      <c r="F1158" s="14" t="n">
        <v>0</v>
      </c>
      <c r="G1158" s="14">
        <f>F1158-E1158</f>
        <v/>
      </c>
      <c r="H1158" s="7" t="n">
        <v>43.45</v>
      </c>
      <c r="I1158" s="7">
        <f>G1158*H1158</f>
        <v/>
      </c>
      <c r="J1158" s="16" t="inlineStr">
        <is>
          <t>لم يُجرد</t>
        </is>
      </c>
      <c r="K1158" s="14" t="n">
        <v>0</v>
      </c>
      <c r="L1158" s="14" t="n">
        <v>2</v>
      </c>
      <c r="M1158" s="5" t="inlineStr"/>
      <c r="N1158" s="5" t="inlineStr"/>
    </row>
    <row r="1159">
      <c r="A1159" s="13" t="inlineStr">
        <is>
          <t>0003161</t>
        </is>
      </c>
      <c r="B1159" s="5" t="inlineStr">
        <is>
          <t>[0003161] LOTENSE 10 MG 30 CAPSULES</t>
        </is>
      </c>
      <c r="C1159" s="5" t="inlineStr">
        <is>
          <t>دواء</t>
        </is>
      </c>
      <c r="D1159" s="13" t="inlineStr">
        <is>
          <t>01062851470022451719</t>
        </is>
      </c>
      <c r="E1159" s="14">
        <f>L1159-K1159</f>
        <v/>
      </c>
      <c r="F1159" s="14" t="n">
        <v>0</v>
      </c>
      <c r="G1159" s="14">
        <f>F1159-E1159</f>
        <v/>
      </c>
      <c r="H1159" s="7" t="n">
        <v>64.40000000000001</v>
      </c>
      <c r="I1159" s="7">
        <f>G1159*H1159</f>
        <v/>
      </c>
      <c r="J1159" s="16" t="inlineStr">
        <is>
          <t>لم يُجرد</t>
        </is>
      </c>
      <c r="K1159" s="14" t="n">
        <v>0</v>
      </c>
      <c r="L1159" s="14" t="n">
        <v>1</v>
      </c>
      <c r="M1159" s="5" t="inlineStr"/>
      <c r="N1159" s="5" t="inlineStr"/>
    </row>
    <row r="1160">
      <c r="A1160" s="13" t="inlineStr">
        <is>
          <t>00044492</t>
        </is>
      </c>
      <c r="B1160" s="5" t="inlineStr">
        <is>
          <t>[00044492] CONAZOL 78G VAGINAL CREAM  WASFA</t>
        </is>
      </c>
      <c r="C1160" s="5" t="inlineStr">
        <is>
          <t>دواء</t>
        </is>
      </c>
      <c r="D1160" s="13" t="inlineStr"/>
      <c r="E1160" s="14">
        <f>L1160-K1160</f>
        <v/>
      </c>
      <c r="F1160" s="14" t="n">
        <v>0</v>
      </c>
      <c r="G1160" s="14">
        <f>F1160-E1160</f>
        <v/>
      </c>
      <c r="H1160" s="7" t="n">
        <v>21.4</v>
      </c>
      <c r="I1160" s="7">
        <f>G1160*H1160</f>
        <v/>
      </c>
      <c r="J1160" s="16" t="inlineStr">
        <is>
          <t>لم يُجرد</t>
        </is>
      </c>
      <c r="K1160" s="14" t="n">
        <v>0</v>
      </c>
      <c r="L1160" s="14" t="n">
        <v>3</v>
      </c>
      <c r="M1160" s="5" t="inlineStr"/>
      <c r="N1160" s="5" t="inlineStr"/>
    </row>
    <row r="1161">
      <c r="A1161" s="13" t="inlineStr">
        <is>
          <t>0003999</t>
        </is>
      </c>
      <c r="B1161" s="5" t="inlineStr">
        <is>
          <t>[0003999] DOGMATIL 50MG 30CAP TMR</t>
        </is>
      </c>
      <c r="C1161" s="5" t="inlineStr">
        <is>
          <t>دواء</t>
        </is>
      </c>
      <c r="D1161" s="13" t="inlineStr"/>
      <c r="E1161" s="14">
        <f>L1161-K1161</f>
        <v/>
      </c>
      <c r="F1161" s="14" t="n">
        <v>0</v>
      </c>
      <c r="G1161" s="14">
        <f>F1161-E1161</f>
        <v/>
      </c>
      <c r="H1161" s="7" t="n">
        <v>21.4</v>
      </c>
      <c r="I1161" s="7">
        <f>G1161*H1161</f>
        <v/>
      </c>
      <c r="J1161" s="16" t="inlineStr">
        <is>
          <t>لم يُجرد</t>
        </is>
      </c>
      <c r="K1161" s="14" t="n">
        <v>0</v>
      </c>
      <c r="L1161" s="14" t="n">
        <v>3</v>
      </c>
      <c r="M1161" s="5" t="inlineStr"/>
      <c r="N1161" s="5" t="inlineStr"/>
    </row>
    <row r="1162">
      <c r="A1162" s="13" t="inlineStr">
        <is>
          <t>0003462</t>
        </is>
      </c>
      <c r="B1162" s="5" t="inlineStr">
        <is>
          <t>[0003462] HYMOX 125MG SUSPENSION  100ML</t>
        </is>
      </c>
      <c r="C1162" s="5" t="inlineStr">
        <is>
          <t>دواء</t>
        </is>
      </c>
      <c r="D1162" s="13" t="inlineStr">
        <is>
          <t>6281086000885</t>
        </is>
      </c>
      <c r="E1162" s="14">
        <f>L1162-K1162</f>
        <v/>
      </c>
      <c r="F1162" s="14" t="n">
        <v>0</v>
      </c>
      <c r="G1162" s="14">
        <f>F1162-E1162</f>
        <v/>
      </c>
      <c r="H1162" s="7" t="n">
        <v>12.55</v>
      </c>
      <c r="I1162" s="7">
        <f>G1162*H1162</f>
        <v/>
      </c>
      <c r="J1162" s="16" t="inlineStr">
        <is>
          <t>لم يُجرد</t>
        </is>
      </c>
      <c r="K1162" s="14" t="n">
        <v>0</v>
      </c>
      <c r="L1162" s="14" t="n">
        <v>5</v>
      </c>
      <c r="M1162" s="5" t="inlineStr"/>
      <c r="N1162" s="5" t="inlineStr"/>
    </row>
    <row r="1163">
      <c r="A1163" s="13" t="inlineStr">
        <is>
          <t>00027798</t>
        </is>
      </c>
      <c r="B1163" s="5" t="inlineStr">
        <is>
          <t>[00027798] BLUM D 50000IU 20F.C.TAB</t>
        </is>
      </c>
      <c r="C1163" s="5" t="inlineStr">
        <is>
          <t>دواء</t>
        </is>
      </c>
      <c r="D1163" s="13" t="inlineStr"/>
      <c r="E1163" s="14">
        <f>L1163-K1163</f>
        <v/>
      </c>
      <c r="F1163" s="14" t="n">
        <v>0</v>
      </c>
      <c r="G1163" s="14">
        <f>F1163-E1163</f>
        <v/>
      </c>
      <c r="H1163" s="7" t="n">
        <v>64.09999999999999</v>
      </c>
      <c r="I1163" s="7">
        <f>G1163*H1163</f>
        <v/>
      </c>
      <c r="J1163" s="16" t="inlineStr">
        <is>
          <t>لم يُجرد</t>
        </is>
      </c>
      <c r="K1163" s="14" t="n">
        <v>0</v>
      </c>
      <c r="L1163" s="14" t="n">
        <v>1</v>
      </c>
      <c r="M1163" s="5" t="inlineStr"/>
      <c r="N1163" s="5" t="inlineStr"/>
    </row>
    <row r="1164">
      <c r="A1164" s="13" t="inlineStr">
        <is>
          <t>00036706</t>
        </is>
      </c>
      <c r="B1164" s="5" t="inlineStr">
        <is>
          <t>[00036706] PURISM MOUTH WASH 240 ML 1251</t>
        </is>
      </c>
      <c r="C1164" s="5" t="inlineStr">
        <is>
          <t>دواء</t>
        </is>
      </c>
      <c r="D1164" s="13" t="inlineStr">
        <is>
          <t>6224008981251</t>
        </is>
      </c>
      <c r="E1164" s="14">
        <f>L1164-K1164</f>
        <v/>
      </c>
      <c r="F1164" s="14" t="n">
        <v>0</v>
      </c>
      <c r="G1164" s="14">
        <f>F1164-E1164</f>
        <v/>
      </c>
      <c r="H1164" s="7" t="n">
        <v>42</v>
      </c>
      <c r="I1164" s="7">
        <f>G1164*H1164</f>
        <v/>
      </c>
      <c r="J1164" s="16" t="inlineStr">
        <is>
          <t>لم يُجرد</t>
        </is>
      </c>
      <c r="K1164" s="14" t="n">
        <v>0</v>
      </c>
      <c r="L1164" s="14" t="n">
        <v>2</v>
      </c>
      <c r="M1164" s="5" t="inlineStr"/>
      <c r="N1164" s="5" t="inlineStr"/>
    </row>
    <row r="1165">
      <c r="A1165" s="13" t="inlineStr">
        <is>
          <t>00012942</t>
        </is>
      </c>
      <c r="B1165" s="5" t="inlineStr">
        <is>
          <t>[00012942] VITAL E 400 CAP JAM</t>
        </is>
      </c>
      <c r="C1165" s="5" t="inlineStr">
        <is>
          <t>دواء</t>
        </is>
      </c>
      <c r="D1165" s="13" t="inlineStr">
        <is>
          <t>010628512800635410ud</t>
        </is>
      </c>
      <c r="E1165" s="14">
        <f>L1165-K1165</f>
        <v/>
      </c>
      <c r="F1165" s="14" t="n">
        <v>0</v>
      </c>
      <c r="G1165" s="14">
        <f>F1165-E1165</f>
        <v/>
      </c>
      <c r="H1165" s="7" t="n">
        <v>36.3</v>
      </c>
      <c r="I1165" s="7">
        <f>G1165*H1165</f>
        <v/>
      </c>
      <c r="J1165" s="16" t="inlineStr">
        <is>
          <t>لم يُجرد</t>
        </is>
      </c>
      <c r="K1165" s="14" t="n">
        <v>0</v>
      </c>
      <c r="L1165" s="14" t="n">
        <v>3</v>
      </c>
      <c r="M1165" s="5" t="inlineStr"/>
      <c r="N1165" s="5" t="inlineStr"/>
    </row>
    <row r="1166">
      <c r="A1166" s="13" t="inlineStr">
        <is>
          <t>00042160</t>
        </is>
      </c>
      <c r="B1166" s="5" t="inlineStr">
        <is>
          <t>[00042160] ROYA-GIN NAFEES PH 30 TAB 1809</t>
        </is>
      </c>
      <c r="C1166" s="5" t="inlineStr">
        <is>
          <t>دواء</t>
        </is>
      </c>
      <c r="D1166" s="13" t="inlineStr">
        <is>
          <t>8690088031809</t>
        </is>
      </c>
      <c r="E1166" s="14">
        <f>L1166-K1166</f>
        <v/>
      </c>
      <c r="F1166" s="14" t="n">
        <v>0</v>
      </c>
      <c r="G1166" s="14">
        <f>F1166-E1166</f>
        <v/>
      </c>
      <c r="H1166" s="7" t="n">
        <v>80</v>
      </c>
      <c r="I1166" s="7">
        <f>G1166*H1166</f>
        <v/>
      </c>
      <c r="J1166" s="16" t="inlineStr">
        <is>
          <t>لم يُجرد</t>
        </is>
      </c>
      <c r="K1166" s="14" t="n">
        <v>0</v>
      </c>
      <c r="L1166" s="14" t="n">
        <v>1</v>
      </c>
      <c r="M1166" s="5" t="inlineStr"/>
      <c r="N1166" s="5" t="inlineStr"/>
    </row>
    <row r="1167">
      <c r="A1167" s="13" t="inlineStr">
        <is>
          <t>00021724</t>
        </is>
      </c>
      <c r="B1167" s="5" t="inlineStr">
        <is>
          <t>[00021724] BACLON 25 MG TAB WASF</t>
        </is>
      </c>
      <c r="C1167" s="5" t="inlineStr">
        <is>
          <t>دواء</t>
        </is>
      </c>
      <c r="D1167" s="13" t="inlineStr"/>
      <c r="E1167" s="14">
        <f>L1167-K1167</f>
        <v/>
      </c>
      <c r="F1167" s="14" t="n">
        <v>0</v>
      </c>
      <c r="G1167" s="14">
        <f>F1167-E1167</f>
        <v/>
      </c>
      <c r="H1167" s="7" t="n">
        <v>63.45</v>
      </c>
      <c r="I1167" s="7">
        <f>G1167*H1167</f>
        <v/>
      </c>
      <c r="J1167" s="16" t="inlineStr">
        <is>
          <t>لم يُجرد</t>
        </is>
      </c>
      <c r="K1167" s="14" t="n">
        <v>0</v>
      </c>
      <c r="L1167" s="14" t="n">
        <v>1</v>
      </c>
      <c r="M1167" s="5" t="inlineStr"/>
      <c r="N1167" s="5" t="inlineStr"/>
    </row>
    <row r="1168">
      <c r="A1168" s="13" t="inlineStr">
        <is>
          <t>0003887</t>
        </is>
      </c>
      <c r="B1168" s="5" t="inlineStr">
        <is>
          <t>[0003887] EPIMAG EFFERVESCENT POWDER***</t>
        </is>
      </c>
      <c r="C1168" s="5" t="inlineStr">
        <is>
          <t>دواء</t>
        </is>
      </c>
      <c r="D1168" s="13" t="inlineStr">
        <is>
          <t>01062210321604231720</t>
        </is>
      </c>
      <c r="E1168" s="14">
        <f>L1168-K1168</f>
        <v/>
      </c>
      <c r="F1168" s="14" t="n">
        <v>0</v>
      </c>
      <c r="G1168" s="14">
        <f>F1168-E1168</f>
        <v/>
      </c>
      <c r="H1168" s="7" t="n">
        <v>6.2</v>
      </c>
      <c r="I1168" s="7">
        <f>G1168*H1168</f>
        <v/>
      </c>
      <c r="J1168" s="16" t="inlineStr">
        <is>
          <t>لم يُجرد</t>
        </is>
      </c>
      <c r="K1168" s="14" t="n">
        <v>0</v>
      </c>
      <c r="L1168" s="14" t="n">
        <v>12</v>
      </c>
      <c r="M1168" s="5" t="inlineStr"/>
      <c r="N1168" s="5" t="inlineStr"/>
    </row>
    <row r="1169">
      <c r="A1169" s="13" t="inlineStr">
        <is>
          <t>00044976</t>
        </is>
      </c>
      <c r="B1169" s="5" t="inlineStr">
        <is>
          <t>[00044976] MIKOSTAT 100000 U/ML SUSP</t>
        </is>
      </c>
      <c r="C1169" s="5" t="inlineStr">
        <is>
          <t>دواء</t>
        </is>
      </c>
      <c r="D1169" s="13" t="inlineStr">
        <is>
          <t>06291100080991</t>
        </is>
      </c>
      <c r="E1169" s="14">
        <f>L1169-K1169</f>
        <v/>
      </c>
      <c r="F1169" s="14" t="n">
        <v>0</v>
      </c>
      <c r="G1169" s="14">
        <f>F1169-E1169</f>
        <v/>
      </c>
      <c r="H1169" s="7" t="n">
        <v>9.15</v>
      </c>
      <c r="I1169" s="7">
        <f>G1169*H1169</f>
        <v/>
      </c>
      <c r="J1169" s="16" t="inlineStr">
        <is>
          <t>لم يُجرد</t>
        </is>
      </c>
      <c r="K1169" s="14" t="n">
        <v>0</v>
      </c>
      <c r="L1169" s="14" t="n">
        <v>7</v>
      </c>
      <c r="M1169" s="5" t="inlineStr"/>
      <c r="N1169" s="5" t="inlineStr"/>
    </row>
    <row r="1170">
      <c r="A1170" s="13" t="inlineStr">
        <is>
          <t>0005603</t>
        </is>
      </c>
      <c r="B1170" s="5" t="inlineStr">
        <is>
          <t>[0005603] MIRZAGEN 30MG 30 TAB</t>
        </is>
      </c>
      <c r="C1170" s="5" t="inlineStr">
        <is>
          <t>دواء</t>
        </is>
      </c>
      <c r="D1170" s="13" t="inlineStr">
        <is>
          <t>6281080003646</t>
        </is>
      </c>
      <c r="E1170" s="14">
        <f>L1170-K1170</f>
        <v/>
      </c>
      <c r="F1170" s="14" t="n">
        <v>0</v>
      </c>
      <c r="G1170" s="14">
        <f>F1170-E1170</f>
        <v/>
      </c>
      <c r="H1170" s="7" t="n">
        <v>78.40000000000001</v>
      </c>
      <c r="I1170" s="7">
        <f>G1170*H1170</f>
        <v/>
      </c>
      <c r="J1170" s="16" t="inlineStr">
        <is>
          <t>لم يُجرد</t>
        </is>
      </c>
      <c r="K1170" s="14" t="n">
        <v>0</v>
      </c>
      <c r="L1170" s="14" t="n">
        <v>1</v>
      </c>
      <c r="M1170" s="5" t="inlineStr"/>
      <c r="N1170" s="5" t="inlineStr"/>
    </row>
    <row r="1171">
      <c r="A1171" s="13" t="inlineStr">
        <is>
          <t>0003163</t>
        </is>
      </c>
      <c r="B1171" s="5" t="inlineStr">
        <is>
          <t>[0003163] LOTEVAN 10MG/160 TAB</t>
        </is>
      </c>
      <c r="C1171" s="5" t="inlineStr">
        <is>
          <t>دواء</t>
        </is>
      </c>
      <c r="D1171" s="13" t="inlineStr">
        <is>
          <t>06285147002337</t>
        </is>
      </c>
      <c r="E1171" s="14">
        <f>L1171-K1171</f>
        <v/>
      </c>
      <c r="F1171" s="14" t="n">
        <v>0</v>
      </c>
      <c r="G1171" s="14">
        <f>F1171-E1171</f>
        <v/>
      </c>
      <c r="H1171" s="7" t="n">
        <v>62.9</v>
      </c>
      <c r="I1171" s="7">
        <f>G1171*H1171</f>
        <v/>
      </c>
      <c r="J1171" s="16" t="inlineStr">
        <is>
          <t>لم يُجرد</t>
        </is>
      </c>
      <c r="K1171" s="14" t="n">
        <v>0</v>
      </c>
      <c r="L1171" s="14" t="n">
        <v>1</v>
      </c>
      <c r="M1171" s="5" t="inlineStr"/>
      <c r="N1171" s="5" t="inlineStr"/>
    </row>
    <row r="1172">
      <c r="A1172" s="13" t="inlineStr">
        <is>
          <t>0005430</t>
        </is>
      </c>
      <c r="B1172" s="5" t="inlineStr">
        <is>
          <t>[0005430] OLMETEC 20MG 28TAB</t>
        </is>
      </c>
      <c r="C1172" s="5" t="inlineStr">
        <is>
          <t>دواء</t>
        </is>
      </c>
      <c r="D1172" s="13" t="inlineStr">
        <is>
          <t>06285094000202</t>
        </is>
      </c>
      <c r="E1172" s="14">
        <f>L1172-K1172</f>
        <v/>
      </c>
      <c r="F1172" s="14" t="n">
        <v>0</v>
      </c>
      <c r="G1172" s="14">
        <f>F1172-E1172</f>
        <v/>
      </c>
      <c r="H1172" s="7" t="n">
        <v>62.45</v>
      </c>
      <c r="I1172" s="7">
        <f>G1172*H1172</f>
        <v/>
      </c>
      <c r="J1172" s="16" t="inlineStr">
        <is>
          <t>لم يُجرد</t>
        </is>
      </c>
      <c r="K1172" s="14" t="n">
        <v>0</v>
      </c>
      <c r="L1172" s="14" t="n">
        <v>1</v>
      </c>
      <c r="M1172" s="5" t="inlineStr"/>
      <c r="N1172" s="5" t="inlineStr"/>
    </row>
    <row r="1173">
      <c r="A1173" s="13" t="inlineStr">
        <is>
          <t>00017359</t>
        </is>
      </c>
      <c r="B1173" s="5" t="inlineStr">
        <is>
          <t>[00017359] BIOSOFT PLUS EYE DROPS</t>
        </is>
      </c>
      <c r="C1173" s="5" t="inlineStr">
        <is>
          <t>دواء</t>
        </is>
      </c>
      <c r="D1173" s="13" t="inlineStr">
        <is>
          <t>6420618265259</t>
        </is>
      </c>
      <c r="E1173" s="14">
        <f>L1173-K1173</f>
        <v/>
      </c>
      <c r="F1173" s="14" t="n">
        <v>0</v>
      </c>
      <c r="G1173" s="14">
        <f>F1173-E1173</f>
        <v/>
      </c>
      <c r="H1173" s="7" t="n">
        <v>31.1</v>
      </c>
      <c r="I1173" s="7">
        <f>G1173*H1173</f>
        <v/>
      </c>
      <c r="J1173" s="16" t="inlineStr">
        <is>
          <t>لم يُجرد</t>
        </is>
      </c>
      <c r="K1173" s="14" t="n">
        <v>0</v>
      </c>
      <c r="L1173" s="14" t="n">
        <v>2</v>
      </c>
      <c r="M1173" s="5" t="inlineStr"/>
      <c r="N1173" s="5" t="inlineStr"/>
    </row>
    <row r="1174">
      <c r="A1174" s="13" t="inlineStr">
        <is>
          <t>00017848</t>
        </is>
      </c>
      <c r="B1174" s="5" t="inlineStr">
        <is>
          <t>[00017848] BIOSOFT EYE DROPS</t>
        </is>
      </c>
      <c r="C1174" s="5" t="inlineStr">
        <is>
          <t>دواء</t>
        </is>
      </c>
      <c r="D1174" s="13" t="inlineStr">
        <is>
          <t>8056284780062</t>
        </is>
      </c>
      <c r="E1174" s="14">
        <f>L1174-K1174</f>
        <v/>
      </c>
      <c r="F1174" s="14" t="n">
        <v>0</v>
      </c>
      <c r="G1174" s="14">
        <f>F1174-E1174</f>
        <v/>
      </c>
      <c r="H1174" s="7" t="n">
        <v>31.1</v>
      </c>
      <c r="I1174" s="7">
        <f>G1174*H1174</f>
        <v/>
      </c>
      <c r="J1174" s="16" t="inlineStr">
        <is>
          <t>لم يُجرد</t>
        </is>
      </c>
      <c r="K1174" s="14" t="n">
        <v>0</v>
      </c>
      <c r="L1174" s="14" t="n">
        <v>2</v>
      </c>
      <c r="M1174" s="5" t="inlineStr"/>
      <c r="N1174" s="5" t="inlineStr"/>
    </row>
    <row r="1175">
      <c r="A1175" s="13" t="inlineStr">
        <is>
          <t>00045764</t>
        </is>
      </c>
      <c r="B1175" s="5" t="inlineStr">
        <is>
          <t>[00045764] AVALON AMAGLIME 1MG 30TAB</t>
        </is>
      </c>
      <c r="C1175" s="5" t="inlineStr">
        <is>
          <t>دواء</t>
        </is>
      </c>
      <c r="D1175" s="13" t="inlineStr">
        <is>
          <t>06285095006814</t>
        </is>
      </c>
      <c r="E1175" s="14">
        <f>L1175-K1175</f>
        <v/>
      </c>
      <c r="F1175" s="14" t="n">
        <v>0</v>
      </c>
      <c r="G1175" s="14">
        <f>F1175-E1175</f>
        <v/>
      </c>
      <c r="H1175" s="7" t="n">
        <v>10.35</v>
      </c>
      <c r="I1175" s="7">
        <f>G1175*H1175</f>
        <v/>
      </c>
      <c r="J1175" s="16" t="inlineStr">
        <is>
          <t>لم يُجرد</t>
        </is>
      </c>
      <c r="K1175" s="14" t="n">
        <v>0</v>
      </c>
      <c r="L1175" s="14" t="n">
        <v>6</v>
      </c>
      <c r="M1175" s="5" t="inlineStr"/>
      <c r="N1175" s="5" t="inlineStr"/>
    </row>
    <row r="1176">
      <c r="A1176" s="13" t="inlineStr">
        <is>
          <t>00019776</t>
        </is>
      </c>
      <c r="B1176" s="5" t="inlineStr">
        <is>
          <t>[00019776] PJUR MED 7093 REPAIR GLIDE 100ML</t>
        </is>
      </c>
      <c r="C1176" s="5" t="inlineStr">
        <is>
          <t>دواء</t>
        </is>
      </c>
      <c r="D1176" s="13" t="inlineStr">
        <is>
          <t>827160107093</t>
        </is>
      </c>
      <c r="E1176" s="14">
        <f>L1176-K1176</f>
        <v/>
      </c>
      <c r="F1176" s="14" t="n">
        <v>0</v>
      </c>
      <c r="G1176" s="14">
        <f>F1176-E1176</f>
        <v/>
      </c>
      <c r="H1176" s="7" t="n">
        <v>102.35</v>
      </c>
      <c r="I1176" s="7">
        <f>G1176*H1176</f>
        <v/>
      </c>
      <c r="J1176" s="16" t="inlineStr">
        <is>
          <t>لم يُجرد</t>
        </is>
      </c>
      <c r="K1176" s="14" t="n">
        <v>0</v>
      </c>
      <c r="L1176" s="14" t="n">
        <v>1</v>
      </c>
      <c r="M1176" s="5" t="inlineStr"/>
      <c r="N1176" s="5" t="inlineStr"/>
    </row>
    <row r="1177">
      <c r="A1177" s="13" t="inlineStr">
        <is>
          <t>0005474</t>
        </is>
      </c>
      <c r="B1177" s="5" t="inlineStr">
        <is>
          <t>[0005474] OFLAM 50MG POWER 10SACHET</t>
        </is>
      </c>
      <c r="C1177" s="5" t="inlineStr">
        <is>
          <t>دواء</t>
        </is>
      </c>
      <c r="D1177" s="13" t="inlineStr"/>
      <c r="E1177" s="14">
        <f>L1177-K1177</f>
        <v/>
      </c>
      <c r="F1177" s="14" t="n">
        <v>0</v>
      </c>
      <c r="G1177" s="14">
        <f>F1177-E1177</f>
        <v/>
      </c>
      <c r="H1177" s="7" t="n">
        <v>20.5</v>
      </c>
      <c r="I1177" s="7">
        <f>G1177*H1177</f>
        <v/>
      </c>
      <c r="J1177" s="16" t="inlineStr">
        <is>
          <t>لم يُجرد</t>
        </is>
      </c>
      <c r="K1177" s="14" t="n">
        <v>0</v>
      </c>
      <c r="L1177" s="14" t="n">
        <v>3</v>
      </c>
      <c r="M1177" s="5" t="inlineStr"/>
      <c r="N1177" s="5" t="inlineStr"/>
    </row>
    <row r="1178">
      <c r="A1178" s="13" t="inlineStr">
        <is>
          <t>0003282</t>
        </is>
      </c>
      <c r="B1178" s="5" t="inlineStr">
        <is>
          <t>[0003282] LEVOZAL 5MG 20 TAB</t>
        </is>
      </c>
      <c r="C1178" s="5" t="inlineStr">
        <is>
          <t>دواء</t>
        </is>
      </c>
      <c r="D1178" s="13" t="inlineStr">
        <is>
          <t>010628512800100710UN</t>
        </is>
      </c>
      <c r="E1178" s="14">
        <f>L1178-K1178</f>
        <v/>
      </c>
      <c r="F1178" s="14" t="n">
        <v>0</v>
      </c>
      <c r="G1178" s="14">
        <f>F1178-E1178</f>
        <v/>
      </c>
      <c r="H1178" s="7" t="n">
        <v>20.5</v>
      </c>
      <c r="I1178" s="7">
        <f>G1178*H1178</f>
        <v/>
      </c>
      <c r="J1178" s="16" t="inlineStr">
        <is>
          <t>لم يُجرد</t>
        </is>
      </c>
      <c r="K1178" s="14" t="n">
        <v>0</v>
      </c>
      <c r="L1178" s="14" t="n">
        <v>3</v>
      </c>
      <c r="M1178" s="5" t="inlineStr"/>
      <c r="N1178" s="5" t="inlineStr"/>
    </row>
    <row r="1179">
      <c r="A1179" s="13" t="inlineStr">
        <is>
          <t>00036802</t>
        </is>
      </c>
      <c r="B1179" s="5" t="inlineStr">
        <is>
          <t>[00036802] GINCOGIN Q 10 30 TAB 6306</t>
        </is>
      </c>
      <c r="C1179" s="5" t="inlineStr">
        <is>
          <t>دواء</t>
        </is>
      </c>
      <c r="D1179" s="13" t="inlineStr">
        <is>
          <t>6285756006306</t>
        </is>
      </c>
      <c r="E1179" s="14">
        <f>L1179-K1179</f>
        <v/>
      </c>
      <c r="F1179" s="14" t="n">
        <v>0</v>
      </c>
      <c r="G1179" s="14">
        <f>F1179-E1179</f>
        <v/>
      </c>
      <c r="H1179" s="7" t="n">
        <v>102</v>
      </c>
      <c r="I1179" s="7">
        <f>G1179*H1179</f>
        <v/>
      </c>
      <c r="J1179" s="16" t="inlineStr">
        <is>
          <t>لم يُجرد</t>
        </is>
      </c>
      <c r="K1179" s="14" t="n">
        <v>0</v>
      </c>
      <c r="L1179" s="14" t="n">
        <v>1</v>
      </c>
      <c r="M1179" s="5" t="inlineStr"/>
      <c r="N1179" s="5" t="inlineStr"/>
    </row>
    <row r="1180">
      <c r="A1180" s="13" t="inlineStr">
        <is>
          <t>00045108</t>
        </is>
      </c>
      <c r="B1180" s="5" t="inlineStr">
        <is>
          <t>[00045108] EDEMAFREE EMULGEL 100ML 8605</t>
        </is>
      </c>
      <c r="C1180" s="5" t="inlineStr">
        <is>
          <t>دواء</t>
        </is>
      </c>
      <c r="D1180" s="13" t="inlineStr">
        <is>
          <t>6287002338605</t>
        </is>
      </c>
      <c r="E1180" s="14">
        <f>L1180-K1180</f>
        <v/>
      </c>
      <c r="F1180" s="14" t="n">
        <v>0</v>
      </c>
      <c r="G1180" s="14">
        <f>F1180-E1180</f>
        <v/>
      </c>
      <c r="H1180" s="7" t="n">
        <v>42.5</v>
      </c>
      <c r="I1180" s="7">
        <f>G1180*H1180</f>
        <v/>
      </c>
      <c r="J1180" s="16" t="inlineStr">
        <is>
          <t>لم يُجرد</t>
        </is>
      </c>
      <c r="K1180" s="14" t="n">
        <v>0</v>
      </c>
      <c r="L1180" s="14" t="n">
        <v>3</v>
      </c>
      <c r="M1180" s="5" t="inlineStr"/>
      <c r="N1180" s="5" t="inlineStr"/>
    </row>
    <row r="1181">
      <c r="A1181" s="13" t="inlineStr">
        <is>
          <t>00026511</t>
        </is>
      </c>
      <c r="B1181" s="5" t="inlineStr">
        <is>
          <t>[00026511] VICHY DERCOS 3907 KERA-SOLUTIONS SHAPOO 250ML</t>
        </is>
      </c>
      <c r="C1181" s="5" t="inlineStr">
        <is>
          <t>دواء</t>
        </is>
      </c>
      <c r="D1181" s="13" t="inlineStr">
        <is>
          <t>3337875673907</t>
        </is>
      </c>
      <c r="E1181" s="14">
        <f>L1181-K1181</f>
        <v/>
      </c>
      <c r="F1181" s="14" t="n">
        <v>0</v>
      </c>
      <c r="G1181" s="14">
        <f>F1181-E1181</f>
        <v/>
      </c>
      <c r="H1181" s="7" t="n">
        <v>77</v>
      </c>
      <c r="I1181" s="7">
        <f>G1181*H1181</f>
        <v/>
      </c>
      <c r="J1181" s="16" t="inlineStr">
        <is>
          <t>لم يُجرد</t>
        </is>
      </c>
      <c r="K1181" s="14" t="n">
        <v>0</v>
      </c>
      <c r="L1181" s="14" t="n">
        <v>1</v>
      </c>
      <c r="M1181" s="5" t="inlineStr"/>
      <c r="N1181" s="5" t="inlineStr"/>
    </row>
    <row r="1182">
      <c r="A1182" s="13" t="inlineStr">
        <is>
          <t>00021659</t>
        </is>
      </c>
      <c r="B1182" s="5" t="inlineStr">
        <is>
          <t>[00021659] FERROLIGHT 30 CAP TAB 7719</t>
        </is>
      </c>
      <c r="C1182" s="5" t="inlineStr">
        <is>
          <t>دواء</t>
        </is>
      </c>
      <c r="D1182" s="13" t="inlineStr">
        <is>
          <t>748515537719</t>
        </is>
      </c>
      <c r="E1182" s="14">
        <f>L1182-K1182</f>
        <v/>
      </c>
      <c r="F1182" s="14" t="n">
        <v>0</v>
      </c>
      <c r="G1182" s="14">
        <f>F1182-E1182</f>
        <v/>
      </c>
      <c r="H1182" s="7" t="n">
        <v>59</v>
      </c>
      <c r="I1182" s="7">
        <f>G1182*H1182</f>
        <v/>
      </c>
      <c r="J1182" s="16" t="inlineStr">
        <is>
          <t>لم يُجرد</t>
        </is>
      </c>
      <c r="K1182" s="14" t="n">
        <v>0</v>
      </c>
      <c r="L1182" s="14" t="n">
        <v>2</v>
      </c>
      <c r="M1182" s="5" t="inlineStr"/>
      <c r="N1182" s="5" t="inlineStr"/>
    </row>
    <row r="1183">
      <c r="A1183" s="13" t="inlineStr">
        <is>
          <t>00044935</t>
        </is>
      </c>
      <c r="B1183" s="5" t="inlineStr">
        <is>
          <t>[00044935] NQ MULTIVITAMINS ORAL DROPS 20ML 0841</t>
        </is>
      </c>
      <c r="C1183" s="5" t="inlineStr">
        <is>
          <t>دواء</t>
        </is>
      </c>
      <c r="D1183" s="13" t="inlineStr">
        <is>
          <t>0765464630841</t>
        </is>
      </c>
      <c r="E1183" s="14">
        <f>L1183-K1183</f>
        <v/>
      </c>
      <c r="F1183" s="14" t="n">
        <v>0</v>
      </c>
      <c r="G1183" s="14">
        <f>F1183-E1183</f>
        <v/>
      </c>
      <c r="H1183" s="7" t="n">
        <v>59</v>
      </c>
      <c r="I1183" s="7">
        <f>G1183*H1183</f>
        <v/>
      </c>
      <c r="J1183" s="16" t="inlineStr">
        <is>
          <t>لم يُجرد</t>
        </is>
      </c>
      <c r="K1183" s="14" t="n">
        <v>0</v>
      </c>
      <c r="L1183" s="14" t="n">
        <v>2</v>
      </c>
      <c r="M1183" s="5" t="inlineStr"/>
      <c r="N1183" s="5" t="inlineStr"/>
    </row>
    <row r="1184">
      <c r="A1184" s="13" t="inlineStr">
        <is>
          <t>00026507</t>
        </is>
      </c>
      <c r="B1184" s="5" t="inlineStr">
        <is>
          <t>[00026507] GAVISCON ADVANCE 24SACHETS</t>
        </is>
      </c>
      <c r="C1184" s="5" t="inlineStr">
        <is>
          <t>دواء</t>
        </is>
      </c>
      <c r="D1184" s="13" t="inlineStr"/>
      <c r="E1184" s="14">
        <f>L1184-K1184</f>
        <v/>
      </c>
      <c r="F1184" s="14" t="n">
        <v>0</v>
      </c>
      <c r="G1184" s="14">
        <f>F1184-E1184</f>
        <v/>
      </c>
      <c r="H1184" s="7" t="n">
        <v>30.4</v>
      </c>
      <c r="I1184" s="7">
        <f>G1184*H1184</f>
        <v/>
      </c>
      <c r="J1184" s="16" t="inlineStr">
        <is>
          <t>لم يُجرد</t>
        </is>
      </c>
      <c r="K1184" s="14" t="n">
        <v>0</v>
      </c>
      <c r="L1184" s="14" t="n">
        <v>2</v>
      </c>
      <c r="M1184" s="5" t="inlineStr"/>
      <c r="N1184" s="5" t="inlineStr"/>
    </row>
    <row r="1185">
      <c r="A1185" s="13" t="inlineStr">
        <is>
          <t>00020382</t>
        </is>
      </c>
      <c r="B1185" s="5" t="inlineStr">
        <is>
          <t>[00020382] LEVONIC 500MG TAB</t>
        </is>
      </c>
      <c r="C1185" s="5" t="inlineStr">
        <is>
          <t>دواء</t>
        </is>
      </c>
      <c r="D1185" s="13" t="inlineStr"/>
      <c r="E1185" s="14">
        <f>L1185-K1185</f>
        <v/>
      </c>
      <c r="F1185" s="14" t="n">
        <v>0</v>
      </c>
      <c r="G1185" s="14">
        <f>F1185-E1185</f>
        <v/>
      </c>
      <c r="H1185" s="7" t="n">
        <v>60.6</v>
      </c>
      <c r="I1185" s="7">
        <f>G1185*H1185</f>
        <v/>
      </c>
      <c r="J1185" s="16" t="inlineStr">
        <is>
          <t>لم يُجرد</t>
        </is>
      </c>
      <c r="K1185" s="14" t="n">
        <v>0</v>
      </c>
      <c r="L1185" s="14" t="n">
        <v>1</v>
      </c>
      <c r="M1185" s="5" t="inlineStr"/>
      <c r="N1185" s="5" t="inlineStr"/>
    </row>
    <row r="1186">
      <c r="A1186" s="13" t="inlineStr">
        <is>
          <t>0004506</t>
        </is>
      </c>
      <c r="B1186" s="5" t="inlineStr">
        <is>
          <t>[0004506] ZERTAZINE 10 MG 20 TAB</t>
        </is>
      </c>
      <c r="C1186" s="5" t="inlineStr">
        <is>
          <t>دواء</t>
        </is>
      </c>
      <c r="D1186" s="13" t="inlineStr">
        <is>
          <t>6281080001062</t>
        </is>
      </c>
      <c r="E1186" s="14">
        <f>L1186-K1186</f>
        <v/>
      </c>
      <c r="F1186" s="14" t="n">
        <v>0</v>
      </c>
      <c r="G1186" s="14">
        <f>F1186-E1186</f>
        <v/>
      </c>
      <c r="H1186" s="7" t="n">
        <v>18.5</v>
      </c>
      <c r="I1186" s="7">
        <f>G1186*H1186</f>
        <v/>
      </c>
      <c r="J1186" s="16" t="inlineStr">
        <is>
          <t>لم يُجرد</t>
        </is>
      </c>
      <c r="K1186" s="14" t="n">
        <v>0</v>
      </c>
      <c r="L1186" s="14" t="n">
        <v>7</v>
      </c>
      <c r="M1186" s="5" t="inlineStr"/>
      <c r="N1186" s="5" t="inlineStr"/>
    </row>
    <row r="1187">
      <c r="A1187" s="13" t="inlineStr">
        <is>
          <t>0004941</t>
        </is>
      </c>
      <c r="B1187" s="5" t="inlineStr">
        <is>
          <t>[0004941] SEROXAT 20 MG 30 TAB</t>
        </is>
      </c>
      <c r="C1187" s="5" t="inlineStr">
        <is>
          <t>دواء</t>
        </is>
      </c>
      <c r="D1187" s="13" t="inlineStr">
        <is>
          <t>0106285097002098</t>
        </is>
      </c>
      <c r="E1187" s="14">
        <f>L1187-K1187</f>
        <v/>
      </c>
      <c r="F1187" s="14" t="n">
        <v>0</v>
      </c>
      <c r="G1187" s="14">
        <f>F1187-E1187</f>
        <v/>
      </c>
      <c r="H1187" s="7" t="n">
        <v>60.3</v>
      </c>
      <c r="I1187" s="7">
        <f>G1187*H1187</f>
        <v/>
      </c>
      <c r="J1187" s="16" t="inlineStr">
        <is>
          <t>لم يُجرد</t>
        </is>
      </c>
      <c r="K1187" s="14" t="n">
        <v>0</v>
      </c>
      <c r="L1187" s="14" t="n">
        <v>1</v>
      </c>
      <c r="M1187" s="5" t="inlineStr"/>
      <c r="N1187" s="5" t="inlineStr"/>
    </row>
    <row r="1188">
      <c r="A1188" s="13" t="inlineStr">
        <is>
          <t>0005326</t>
        </is>
      </c>
      <c r="B1188" s="5" t="inlineStr">
        <is>
          <t>[0005326] PAROXAT 10 MG 30 TAB</t>
        </is>
      </c>
      <c r="C1188" s="5" t="inlineStr">
        <is>
          <t>دواء</t>
        </is>
      </c>
      <c r="D1188" s="13" t="inlineStr"/>
      <c r="E1188" s="14">
        <f>L1188-K1188</f>
        <v/>
      </c>
      <c r="F1188" s="14" t="n">
        <v>0</v>
      </c>
      <c r="G1188" s="14">
        <f>F1188-E1188</f>
        <v/>
      </c>
      <c r="H1188" s="7" t="n">
        <v>30.15</v>
      </c>
      <c r="I1188" s="7">
        <f>G1188*H1188</f>
        <v/>
      </c>
      <c r="J1188" s="16" t="inlineStr">
        <is>
          <t>لم يُجرد</t>
        </is>
      </c>
      <c r="K1188" s="14" t="n">
        <v>0</v>
      </c>
      <c r="L1188" s="14" t="n">
        <v>2</v>
      </c>
      <c r="M1188" s="5" t="inlineStr"/>
      <c r="N1188" s="5" t="inlineStr"/>
    </row>
    <row r="1189">
      <c r="A1189" s="13" t="inlineStr">
        <is>
          <t>00025948</t>
        </is>
      </c>
      <c r="B1189" s="5" t="inlineStr">
        <is>
          <t>[00025948] ZYMO LIGHTE 10 SACH</t>
        </is>
      </c>
      <c r="C1189" s="5" t="inlineStr">
        <is>
          <t>دواء</t>
        </is>
      </c>
      <c r="D1189" s="13" t="inlineStr">
        <is>
          <t>0037182670110</t>
        </is>
      </c>
      <c r="E1189" s="14">
        <f>L1189-K1189</f>
        <v/>
      </c>
      <c r="F1189" s="14" t="n">
        <v>0</v>
      </c>
      <c r="G1189" s="14">
        <f>F1189-E1189</f>
        <v/>
      </c>
      <c r="H1189" s="7" t="n">
        <v>39</v>
      </c>
      <c r="I1189" s="7">
        <f>G1189*H1189</f>
        <v/>
      </c>
      <c r="J1189" s="16" t="inlineStr">
        <is>
          <t>لم يُجرد</t>
        </is>
      </c>
      <c r="K1189" s="14" t="n">
        <v>0</v>
      </c>
      <c r="L1189" s="14" t="n">
        <v>3</v>
      </c>
      <c r="M1189" s="5" t="inlineStr"/>
      <c r="N1189" s="5" t="inlineStr"/>
    </row>
    <row r="1190">
      <c r="A1190" s="13" t="inlineStr">
        <is>
          <t>0005600</t>
        </is>
      </c>
      <c r="B1190" s="5" t="inlineStr">
        <is>
          <t>[0005600] AVALON UREA CREAM 100ML</t>
        </is>
      </c>
      <c r="C1190" s="5" t="inlineStr">
        <is>
          <t>دواء</t>
        </is>
      </c>
      <c r="D1190" s="13" t="inlineStr">
        <is>
          <t>06285095000102</t>
        </is>
      </c>
      <c r="E1190" s="14">
        <f>L1190-K1190</f>
        <v/>
      </c>
      <c r="F1190" s="14" t="n">
        <v>0</v>
      </c>
      <c r="G1190" s="14">
        <f>F1190-E1190</f>
        <v/>
      </c>
      <c r="H1190" s="7" t="n">
        <v>56</v>
      </c>
      <c r="I1190" s="7">
        <f>G1190*H1190</f>
        <v/>
      </c>
      <c r="J1190" s="16" t="inlineStr">
        <is>
          <t>لم يُجرد</t>
        </is>
      </c>
      <c r="K1190" s="14" t="n">
        <v>0</v>
      </c>
      <c r="L1190" s="14" t="n">
        <v>2</v>
      </c>
      <c r="M1190" s="5" t="inlineStr"/>
      <c r="N1190" s="5" t="inlineStr"/>
    </row>
    <row r="1191">
      <c r="A1191" s="13" t="inlineStr">
        <is>
          <t>00040400</t>
        </is>
      </c>
      <c r="B1191" s="5" t="inlineStr">
        <is>
          <t>[00040400] OSTAMIN D3 DROP 20ML</t>
        </is>
      </c>
      <c r="C1191" s="5" t="inlineStr">
        <is>
          <t>دواء</t>
        </is>
      </c>
      <c r="D1191" s="13" t="inlineStr">
        <is>
          <t>0795697001002</t>
        </is>
      </c>
      <c r="E1191" s="14">
        <f>L1191-K1191</f>
        <v/>
      </c>
      <c r="F1191" s="14" t="n">
        <v>0</v>
      </c>
      <c r="G1191" s="14">
        <f>F1191-E1191</f>
        <v/>
      </c>
      <c r="H1191" s="7" t="n">
        <v>50</v>
      </c>
      <c r="I1191" s="7">
        <f>G1191*H1191</f>
        <v/>
      </c>
      <c r="J1191" s="16" t="inlineStr">
        <is>
          <t>لم يُجرد</t>
        </is>
      </c>
      <c r="K1191" s="14" t="n">
        <v>0</v>
      </c>
      <c r="L1191" s="14" t="n">
        <v>1</v>
      </c>
      <c r="M1191" s="5" t="inlineStr"/>
      <c r="N1191" s="5" t="inlineStr"/>
    </row>
    <row r="1192">
      <c r="A1192" s="13" t="inlineStr">
        <is>
          <t>0005709</t>
        </is>
      </c>
      <c r="B1192" s="5" t="inlineStr">
        <is>
          <t>[0005709] MIKOSTAT OINTMENT 15 GM</t>
        </is>
      </c>
      <c r="C1192" s="5" t="inlineStr">
        <is>
          <t>دواء</t>
        </is>
      </c>
      <c r="D1192" s="13" t="inlineStr">
        <is>
          <t>01062911000811651719</t>
        </is>
      </c>
      <c r="E1192" s="14">
        <f>L1192-K1192</f>
        <v/>
      </c>
      <c r="F1192" s="14" t="n">
        <v>0</v>
      </c>
      <c r="G1192" s="14">
        <f>F1192-E1192</f>
        <v/>
      </c>
      <c r="H1192" s="7" t="n">
        <v>10</v>
      </c>
      <c r="I1192" s="7">
        <f>G1192*H1192</f>
        <v/>
      </c>
      <c r="J1192" s="16" t="inlineStr">
        <is>
          <t>لم يُجرد</t>
        </is>
      </c>
      <c r="K1192" s="14" t="n">
        <v>0</v>
      </c>
      <c r="L1192" s="14" t="n">
        <v>6</v>
      </c>
      <c r="M1192" s="5" t="inlineStr"/>
      <c r="N1192" s="5" t="inlineStr"/>
    </row>
    <row r="1193">
      <c r="A1193" s="13" t="inlineStr">
        <is>
          <t>00044175</t>
        </is>
      </c>
      <c r="B1193" s="5" t="inlineStr">
        <is>
          <t>[00044175] CYSTOMAX 150 ML SYP</t>
        </is>
      </c>
      <c r="C1193" s="5" t="inlineStr">
        <is>
          <t>دواء</t>
        </is>
      </c>
      <c r="D1193" s="13" t="inlineStr"/>
      <c r="E1193" s="14">
        <f>L1193-K1193</f>
        <v/>
      </c>
      <c r="F1193" s="14" t="n">
        <v>0</v>
      </c>
      <c r="G1193" s="14">
        <f>F1193-E1193</f>
        <v/>
      </c>
      <c r="H1193" s="7" t="n">
        <v>83</v>
      </c>
      <c r="I1193" s="7">
        <f>G1193*H1193</f>
        <v/>
      </c>
      <c r="J1193" s="16" t="inlineStr">
        <is>
          <t>لم يُجرد</t>
        </is>
      </c>
      <c r="K1193" s="14" t="n">
        <v>0</v>
      </c>
      <c r="L1193" s="14" t="n">
        <v>1</v>
      </c>
      <c r="M1193" s="5" t="inlineStr"/>
      <c r="N1193" s="5" t="inlineStr"/>
    </row>
    <row r="1194">
      <c r="A1194" s="13" t="inlineStr">
        <is>
          <t>0004471</t>
        </is>
      </c>
      <c r="B1194" s="5" t="inlineStr">
        <is>
          <t>[0004471] BETAZOL CREAM 30 GM</t>
        </is>
      </c>
      <c r="C1194" s="5" t="inlineStr">
        <is>
          <t>دواء</t>
        </is>
      </c>
      <c r="D1194" s="13" t="inlineStr">
        <is>
          <t>06285128000215</t>
        </is>
      </c>
      <c r="E1194" s="14">
        <f>L1194-K1194</f>
        <v/>
      </c>
      <c r="F1194" s="14" t="n">
        <v>0</v>
      </c>
      <c r="G1194" s="14">
        <f>F1194-E1194</f>
        <v/>
      </c>
      <c r="H1194" s="7" t="n">
        <v>16.3</v>
      </c>
      <c r="I1194" s="7">
        <f>G1194*H1194</f>
        <v/>
      </c>
      <c r="J1194" s="16" t="inlineStr">
        <is>
          <t>لم يُجرد</t>
        </is>
      </c>
      <c r="K1194" s="14" t="n">
        <v>0</v>
      </c>
      <c r="L1194" s="14" t="n">
        <v>4</v>
      </c>
      <c r="M1194" s="5" t="inlineStr"/>
      <c r="N1194" s="5" t="inlineStr"/>
    </row>
    <row r="1195">
      <c r="A1195" s="13" t="inlineStr">
        <is>
          <t>00037747</t>
        </is>
      </c>
      <c r="B1195" s="5" t="inlineStr">
        <is>
          <t>[00037747] DUO LAX SALINE SOLUTION CLEANSER 2*150ML</t>
        </is>
      </c>
      <c r="C1195" s="5" t="inlineStr">
        <is>
          <t>دواء</t>
        </is>
      </c>
      <c r="D1195" s="13" t="inlineStr">
        <is>
          <t>795697003105</t>
        </is>
      </c>
      <c r="E1195" s="14">
        <f>L1195-K1195</f>
        <v/>
      </c>
      <c r="F1195" s="14" t="n">
        <v>0</v>
      </c>
      <c r="G1195" s="14">
        <f>F1195-E1195</f>
        <v/>
      </c>
      <c r="H1195" s="7" t="n">
        <v>45</v>
      </c>
      <c r="I1195" s="7">
        <f>G1195*H1195</f>
        <v/>
      </c>
      <c r="J1195" s="16" t="inlineStr">
        <is>
          <t>لم يُجرد</t>
        </is>
      </c>
      <c r="K1195" s="14" t="n">
        <v>0</v>
      </c>
      <c r="L1195" s="14" t="n">
        <v>2</v>
      </c>
      <c r="M1195" s="5" t="inlineStr"/>
      <c r="N1195" s="5" t="inlineStr"/>
    </row>
    <row r="1196">
      <c r="A1196" s="13" t="inlineStr">
        <is>
          <t>0004694</t>
        </is>
      </c>
      <c r="B1196" s="5" t="inlineStr">
        <is>
          <t>[0004694] VASCODIPINE 5MG 30TAB</t>
        </is>
      </c>
      <c r="C1196" s="5" t="inlineStr">
        <is>
          <t>دواء</t>
        </is>
      </c>
      <c r="D1196" s="13" t="inlineStr">
        <is>
          <t>6281080003264</t>
        </is>
      </c>
      <c r="E1196" s="14">
        <f>L1196-K1196</f>
        <v/>
      </c>
      <c r="F1196" s="14" t="n">
        <v>0</v>
      </c>
      <c r="G1196" s="14">
        <f>F1196-E1196</f>
        <v/>
      </c>
      <c r="H1196" s="7" t="n">
        <v>53.35</v>
      </c>
      <c r="I1196" s="7">
        <f>G1196*H1196</f>
        <v/>
      </c>
      <c r="J1196" s="16" t="inlineStr">
        <is>
          <t>لم يُجرد</t>
        </is>
      </c>
      <c r="K1196" s="14" t="n">
        <v>0</v>
      </c>
      <c r="L1196" s="14" t="n">
        <v>2</v>
      </c>
      <c r="M1196" s="5" t="inlineStr"/>
      <c r="N1196" s="5" t="inlineStr"/>
    </row>
    <row r="1197">
      <c r="A1197" s="13" t="inlineStr">
        <is>
          <t>0003686</t>
        </is>
      </c>
      <c r="B1197" s="5" t="inlineStr">
        <is>
          <t>[0003686] FUSIDERM B CREAM 15GM</t>
        </is>
      </c>
      <c r="C1197" s="5" t="inlineStr">
        <is>
          <t>دواء</t>
        </is>
      </c>
      <c r="D1197" s="13" t="inlineStr">
        <is>
          <t>01062810860117751020095741728090621SMKH84T</t>
        </is>
      </c>
      <c r="E1197" s="14">
        <f>L1197-K1197</f>
        <v/>
      </c>
      <c r="F1197" s="14" t="n">
        <v>0</v>
      </c>
      <c r="G1197" s="14">
        <f>F1197-E1197</f>
        <v/>
      </c>
      <c r="H1197" s="7" t="n">
        <v>11.65</v>
      </c>
      <c r="I1197" s="7">
        <f>G1197*H1197</f>
        <v/>
      </c>
      <c r="J1197" s="16" t="inlineStr">
        <is>
          <t>لم يُجرد</t>
        </is>
      </c>
      <c r="K1197" s="14" t="n">
        <v>0</v>
      </c>
      <c r="L1197" s="14" t="n">
        <v>5</v>
      </c>
      <c r="M1197" s="5" t="inlineStr"/>
      <c r="N1197" s="5" t="inlineStr"/>
    </row>
    <row r="1198">
      <c r="A1198" s="13" t="inlineStr">
        <is>
          <t>0005102</t>
        </is>
      </c>
      <c r="B1198" s="5" t="inlineStr">
        <is>
          <t>[0005102] RIDONE 1 MG 30 TAB WASFA</t>
        </is>
      </c>
      <c r="C1198" s="5" t="inlineStr">
        <is>
          <t>دواء</t>
        </is>
      </c>
      <c r="D1198" s="13" t="inlineStr">
        <is>
          <t>6281102231446</t>
        </is>
      </c>
      <c r="E1198" s="14">
        <f>L1198-K1198</f>
        <v/>
      </c>
      <c r="F1198" s="14" t="n">
        <v>0</v>
      </c>
      <c r="G1198" s="14">
        <f>F1198-E1198</f>
        <v/>
      </c>
      <c r="H1198" s="7" t="n">
        <v>58.1</v>
      </c>
      <c r="I1198" s="7">
        <f>G1198*H1198</f>
        <v/>
      </c>
      <c r="J1198" s="16" t="inlineStr">
        <is>
          <t>لم يُجرد</t>
        </is>
      </c>
      <c r="K1198" s="14" t="n">
        <v>0</v>
      </c>
      <c r="L1198" s="14" t="n">
        <v>1</v>
      </c>
      <c r="M1198" s="5" t="inlineStr"/>
      <c r="N1198" s="5" t="inlineStr"/>
    </row>
    <row r="1199">
      <c r="A1199" s="13" t="inlineStr">
        <is>
          <t>00026515</t>
        </is>
      </c>
      <c r="B1199" s="5" t="inlineStr">
        <is>
          <t>[00026515] VICHY DERCOS 681 VITAMIN GLANZ CONDITIONER 200ML</t>
        </is>
      </c>
      <c r="C1199" s="5" t="inlineStr">
        <is>
          <t>دواء</t>
        </is>
      </c>
      <c r="D1199" s="13" t="inlineStr">
        <is>
          <t>3337875595681</t>
        </is>
      </c>
      <c r="E1199" s="14">
        <f>L1199-K1199</f>
        <v/>
      </c>
      <c r="F1199" s="14" t="n">
        <v>0</v>
      </c>
      <c r="G1199" s="14">
        <f>F1199-E1199</f>
        <v/>
      </c>
      <c r="H1199" s="7" t="n">
        <v>60</v>
      </c>
      <c r="I1199" s="7">
        <f>G1199*H1199</f>
        <v/>
      </c>
      <c r="J1199" s="16" t="inlineStr">
        <is>
          <t>لم يُجرد</t>
        </is>
      </c>
      <c r="K1199" s="14" t="n">
        <v>0</v>
      </c>
      <c r="L1199" s="14" t="n">
        <v>1</v>
      </c>
      <c r="M1199" s="5" t="inlineStr"/>
      <c r="N1199" s="5" t="inlineStr"/>
    </row>
    <row r="1200">
      <c r="A1200" s="13" t="inlineStr">
        <is>
          <t>00016840</t>
        </is>
      </c>
      <c r="B1200" s="5" t="inlineStr">
        <is>
          <t>[00016840] CENTRUM ENERGY 30 TAB</t>
        </is>
      </c>
      <c r="C1200" s="5" t="inlineStr">
        <is>
          <t>دواء</t>
        </is>
      </c>
      <c r="D1200" s="13" t="inlineStr">
        <is>
          <t>5415062346723</t>
        </is>
      </c>
      <c r="E1200" s="14">
        <f>L1200-K1200</f>
        <v/>
      </c>
      <c r="F1200" s="14" t="n">
        <v>0</v>
      </c>
      <c r="G1200" s="14">
        <f>F1200-E1200</f>
        <v/>
      </c>
      <c r="H1200" s="7" t="n">
        <v>29</v>
      </c>
      <c r="I1200" s="7">
        <f>G1200*H1200</f>
        <v/>
      </c>
      <c r="J1200" s="16" t="inlineStr">
        <is>
          <t>لم يُجرد</t>
        </is>
      </c>
      <c r="K1200" s="14" t="n">
        <v>0</v>
      </c>
      <c r="L1200" s="14" t="n">
        <v>2</v>
      </c>
      <c r="M1200" s="5" t="inlineStr"/>
      <c r="N1200" s="5" t="inlineStr"/>
    </row>
    <row r="1201">
      <c r="A1201" s="13" t="inlineStr">
        <is>
          <t>00018767</t>
        </is>
      </c>
      <c r="B1201" s="5" t="inlineStr">
        <is>
          <t>[00018767] ARKO FORCAPIL 60 CAP 3550</t>
        </is>
      </c>
      <c r="C1201" s="5" t="inlineStr">
        <is>
          <t>دواء</t>
        </is>
      </c>
      <c r="D1201" s="13" t="inlineStr">
        <is>
          <t>3578830123550</t>
        </is>
      </c>
      <c r="E1201" s="14">
        <f>L1201-K1201</f>
        <v/>
      </c>
      <c r="F1201" s="14" t="n">
        <v>0</v>
      </c>
      <c r="G1201" s="14">
        <f>F1201-E1201</f>
        <v/>
      </c>
      <c r="H1201" s="7" t="n">
        <v>57.7</v>
      </c>
      <c r="I1201" s="7">
        <f>G1201*H1201</f>
        <v/>
      </c>
      <c r="J1201" s="16" t="inlineStr">
        <is>
          <t>لم يُجرد</t>
        </is>
      </c>
      <c r="K1201" s="14" t="n">
        <v>0</v>
      </c>
      <c r="L1201" s="14" t="n">
        <v>1</v>
      </c>
      <c r="M1201" s="5" t="inlineStr"/>
      <c r="N1201" s="5" t="inlineStr"/>
    </row>
    <row r="1202">
      <c r="A1202" s="13" t="inlineStr">
        <is>
          <t>0003552</t>
        </is>
      </c>
      <c r="B1202" s="5" t="inlineStr">
        <is>
          <t>[0003552] APO-DOXY 100MG 10CAP*****</t>
        </is>
      </c>
      <c r="C1202" s="5" t="inlineStr">
        <is>
          <t>دواء</t>
        </is>
      </c>
      <c r="D1202" s="13" t="inlineStr"/>
      <c r="E1202" s="14">
        <f>L1202-K1202</f>
        <v/>
      </c>
      <c r="F1202" s="14" t="n">
        <v>0</v>
      </c>
      <c r="G1202" s="14">
        <f>F1202-E1202</f>
        <v/>
      </c>
      <c r="H1202" s="7" t="n">
        <v>28.85</v>
      </c>
      <c r="I1202" s="7">
        <f>G1202*H1202</f>
        <v/>
      </c>
      <c r="J1202" s="16" t="inlineStr">
        <is>
          <t>لم يُجرد</t>
        </is>
      </c>
      <c r="K1202" s="14" t="n">
        <v>0</v>
      </c>
      <c r="L1202" s="14" t="n">
        <v>2</v>
      </c>
      <c r="M1202" s="5" t="inlineStr"/>
      <c r="N1202" s="5" t="inlineStr"/>
    </row>
    <row r="1203">
      <c r="A1203" s="13" t="inlineStr">
        <is>
          <t>00034249</t>
        </is>
      </c>
      <c r="B1203" s="5" t="inlineStr">
        <is>
          <t>[00034249] EMOZILLA CREM 75 ML</t>
        </is>
      </c>
      <c r="C1203" s="5" t="inlineStr">
        <is>
          <t>دواء</t>
        </is>
      </c>
      <c r="D1203" s="13" t="inlineStr">
        <is>
          <t>6285756000984</t>
        </is>
      </c>
      <c r="E1203" s="14">
        <f>L1203-K1203</f>
        <v/>
      </c>
      <c r="F1203" s="14" t="n">
        <v>0</v>
      </c>
      <c r="G1203" s="14">
        <f>F1203-E1203</f>
        <v/>
      </c>
      <c r="H1203" s="7" t="n">
        <v>60</v>
      </c>
      <c r="I1203" s="7">
        <f>G1203*H1203</f>
        <v/>
      </c>
      <c r="J1203" s="16" t="inlineStr">
        <is>
          <t>لم يُجرد</t>
        </is>
      </c>
      <c r="K1203" s="14" t="n">
        <v>0</v>
      </c>
      <c r="L1203" s="14" t="n">
        <v>2</v>
      </c>
      <c r="M1203" s="5" t="inlineStr"/>
      <c r="N1203" s="5" t="inlineStr"/>
    </row>
    <row r="1204">
      <c r="A1204" s="13" t="inlineStr">
        <is>
          <t>00046891</t>
        </is>
      </c>
      <c r="B1204" s="5" t="inlineStr">
        <is>
          <t>[00046891] BIOFAR VITAMIN C 1000 MG 6206</t>
        </is>
      </c>
      <c r="C1204" s="5" t="inlineStr">
        <is>
          <t>دواء</t>
        </is>
      </c>
      <c r="D1204" s="13" t="inlineStr">
        <is>
          <t>3760049896206</t>
        </is>
      </c>
      <c r="E1204" s="14">
        <f>L1204-K1204</f>
        <v/>
      </c>
      <c r="F1204" s="14" t="n">
        <v>0</v>
      </c>
      <c r="G1204" s="14">
        <f>F1204-E1204</f>
        <v/>
      </c>
      <c r="H1204" s="7" t="n">
        <v>30</v>
      </c>
      <c r="I1204" s="7">
        <f>G1204*H1204</f>
        <v/>
      </c>
      <c r="J1204" s="16" t="inlineStr">
        <is>
          <t>لم يُجرد</t>
        </is>
      </c>
      <c r="K1204" s="14" t="n">
        <v>0</v>
      </c>
      <c r="L1204" s="14" t="n">
        <v>2</v>
      </c>
      <c r="M1204" s="5" t="inlineStr"/>
      <c r="N1204" s="5" t="inlineStr"/>
    </row>
    <row r="1205">
      <c r="A1205" s="13" t="inlineStr">
        <is>
          <t>0004990</t>
        </is>
      </c>
      <c r="B1205" s="5" t="inlineStr">
        <is>
          <t>[0004990] SALIBET OINTMENT 30GM WASFA</t>
        </is>
      </c>
      <c r="C1205" s="5" t="inlineStr">
        <is>
          <t>دواء</t>
        </is>
      </c>
      <c r="D1205" s="13" t="inlineStr"/>
      <c r="E1205" s="14">
        <f>L1205-K1205</f>
        <v/>
      </c>
      <c r="F1205" s="14" t="n">
        <v>0</v>
      </c>
      <c r="G1205" s="14">
        <f>F1205-E1205</f>
        <v/>
      </c>
      <c r="H1205" s="7" t="n">
        <v>14.4</v>
      </c>
      <c r="I1205" s="7">
        <f>G1205*H1205</f>
        <v/>
      </c>
      <c r="J1205" s="16" t="inlineStr">
        <is>
          <t>لم يُجرد</t>
        </is>
      </c>
      <c r="K1205" s="14" t="n">
        <v>0</v>
      </c>
      <c r="L1205" s="14" t="n">
        <v>4</v>
      </c>
      <c r="M1205" s="5" t="inlineStr"/>
      <c r="N1205" s="5" t="inlineStr"/>
    </row>
    <row r="1206">
      <c r="A1206" s="13" t="inlineStr">
        <is>
          <t>0003325</t>
        </is>
      </c>
      <c r="B1206" s="5" t="inlineStr">
        <is>
          <t>[0003325] LAMICTAL 50 MG 30 TAB</t>
        </is>
      </c>
      <c r="C1206" s="5" t="inlineStr">
        <is>
          <t>دواء</t>
        </is>
      </c>
      <c r="D1206" s="13" t="inlineStr">
        <is>
          <t>06285097000452</t>
        </is>
      </c>
      <c r="E1206" s="14">
        <f>L1206-K1206</f>
        <v/>
      </c>
      <c r="F1206" s="14" t="n">
        <v>0</v>
      </c>
      <c r="G1206" s="14">
        <f>F1206-E1206</f>
        <v/>
      </c>
      <c r="H1206" s="7" t="n">
        <v>57.2</v>
      </c>
      <c r="I1206" s="7">
        <f>G1206*H1206</f>
        <v/>
      </c>
      <c r="J1206" s="16" t="inlineStr">
        <is>
          <t>لم يُجرد</t>
        </is>
      </c>
      <c r="K1206" s="14" t="n">
        <v>0</v>
      </c>
      <c r="L1206" s="14" t="n">
        <v>1</v>
      </c>
      <c r="M1206" s="5" t="inlineStr"/>
      <c r="N1206" s="5" t="inlineStr"/>
    </row>
    <row r="1207">
      <c r="A1207" s="13" t="inlineStr">
        <is>
          <t>0004035</t>
        </is>
      </c>
      <c r="B1207" s="5" t="inlineStr">
        <is>
          <t>[0004035] EARCALM EAR DROPS 5ML</t>
        </is>
      </c>
      <c r="C1207" s="5" t="inlineStr">
        <is>
          <t>دواء</t>
        </is>
      </c>
      <c r="D1207" s="13" t="inlineStr">
        <is>
          <t>6281080002014</t>
        </is>
      </c>
      <c r="E1207" s="14">
        <f>L1207-K1207</f>
        <v/>
      </c>
      <c r="F1207" s="14" t="n">
        <v>0</v>
      </c>
      <c r="G1207" s="14">
        <f>F1207-E1207</f>
        <v/>
      </c>
      <c r="H1207" s="7" t="n">
        <v>19</v>
      </c>
      <c r="I1207" s="7">
        <f>G1207*H1207</f>
        <v/>
      </c>
      <c r="J1207" s="16" t="inlineStr">
        <is>
          <t>لم يُجرد</t>
        </is>
      </c>
      <c r="K1207" s="14" t="n">
        <v>0</v>
      </c>
      <c r="L1207" s="14" t="n">
        <v>3</v>
      </c>
      <c r="M1207" s="5" t="inlineStr"/>
      <c r="N1207" s="5" t="inlineStr"/>
    </row>
    <row r="1208">
      <c r="A1208" s="13" t="inlineStr">
        <is>
          <t>00019288</t>
        </is>
      </c>
      <c r="B1208" s="5" t="inlineStr">
        <is>
          <t>[00019288] MONOZIDE 25 MG 30TAB</t>
        </is>
      </c>
      <c r="C1208" s="5" t="inlineStr">
        <is>
          <t>دواء</t>
        </is>
      </c>
      <c r="D1208" s="13" t="inlineStr">
        <is>
          <t>06251154084017</t>
        </is>
      </c>
      <c r="E1208" s="14">
        <f>L1208-K1208</f>
        <v/>
      </c>
      <c r="F1208" s="14" t="n">
        <v>0</v>
      </c>
      <c r="G1208" s="14">
        <f>F1208-E1208</f>
        <v/>
      </c>
      <c r="H1208" s="7" t="n">
        <v>14.2</v>
      </c>
      <c r="I1208" s="7">
        <f>G1208*H1208</f>
        <v/>
      </c>
      <c r="J1208" s="16" t="inlineStr">
        <is>
          <t>لم يُجرد</t>
        </is>
      </c>
      <c r="K1208" s="14" t="n">
        <v>0</v>
      </c>
      <c r="L1208" s="14" t="n">
        <v>4</v>
      </c>
      <c r="M1208" s="5" t="inlineStr"/>
      <c r="N1208" s="5" t="inlineStr"/>
    </row>
    <row r="1209">
      <c r="A1209" s="13" t="inlineStr">
        <is>
          <t>00034242</t>
        </is>
      </c>
      <c r="B1209" s="5" t="inlineStr">
        <is>
          <t>[00034242] RELAXIN MASSAGE EMULGEL 100 ML</t>
        </is>
      </c>
      <c r="C1209" s="5" t="inlineStr">
        <is>
          <t>دواء</t>
        </is>
      </c>
      <c r="D1209" s="13" t="inlineStr">
        <is>
          <t>6285756000977</t>
        </is>
      </c>
      <c r="E1209" s="14">
        <f>L1209-K1209</f>
        <v/>
      </c>
      <c r="F1209" s="14" t="n">
        <v>0</v>
      </c>
      <c r="G1209" s="14">
        <f>F1209-E1209</f>
        <v/>
      </c>
      <c r="H1209" s="7" t="n">
        <v>61</v>
      </c>
      <c r="I1209" s="7">
        <f>G1209*H1209</f>
        <v/>
      </c>
      <c r="J1209" s="16" t="inlineStr">
        <is>
          <t>لم يُجرد</t>
        </is>
      </c>
      <c r="K1209" s="14" t="n">
        <v>0</v>
      </c>
      <c r="L1209" s="14" t="n">
        <v>2</v>
      </c>
      <c r="M1209" s="5" t="inlineStr"/>
      <c r="N1209" s="5" t="inlineStr"/>
    </row>
    <row r="1210">
      <c r="A1210" s="13" t="inlineStr">
        <is>
          <t>0003925</t>
        </is>
      </c>
      <c r="B1210" s="5" t="inlineStr">
        <is>
          <t>[0003925] DERMOVATE OINTMENT 25GM</t>
        </is>
      </c>
      <c r="C1210" s="5" t="inlineStr">
        <is>
          <t>دواء</t>
        </is>
      </c>
      <c r="D1210" s="13" t="inlineStr">
        <is>
          <t>01062850970002301719</t>
        </is>
      </c>
      <c r="E1210" s="14">
        <f>L1210-K1210</f>
        <v/>
      </c>
      <c r="F1210" s="14" t="n">
        <v>0</v>
      </c>
      <c r="G1210" s="14">
        <f>F1210-E1210</f>
        <v/>
      </c>
      <c r="H1210" s="7" t="n">
        <v>9.449999999999999</v>
      </c>
      <c r="I1210" s="7">
        <f>G1210*H1210</f>
        <v/>
      </c>
      <c r="J1210" s="16" t="inlineStr">
        <is>
          <t>لم يُجرد</t>
        </is>
      </c>
      <c r="K1210" s="14" t="n">
        <v>0</v>
      </c>
      <c r="L1210" s="14" t="n">
        <v>6</v>
      </c>
      <c r="M1210" s="5" t="inlineStr"/>
      <c r="N1210" s="5" t="inlineStr"/>
    </row>
    <row r="1211">
      <c r="A1211" s="13" t="inlineStr">
        <is>
          <t>00047327</t>
        </is>
      </c>
      <c r="B1211" s="5" t="inlineStr">
        <is>
          <t>[00047327] NQ IRON AND FOLIC ACID 30 CAP 8708</t>
        </is>
      </c>
      <c r="C1211" s="5" t="inlineStr">
        <is>
          <t>دواء</t>
        </is>
      </c>
      <c r="D1211" s="13" t="inlineStr">
        <is>
          <t>0795044248708</t>
        </is>
      </c>
      <c r="E1211" s="14">
        <f>L1211-K1211</f>
        <v/>
      </c>
      <c r="F1211" s="14" t="n">
        <v>0</v>
      </c>
      <c r="G1211" s="14">
        <f>F1211-E1211</f>
        <v/>
      </c>
      <c r="H1211" s="7" t="n">
        <v>59</v>
      </c>
      <c r="I1211" s="7">
        <f>G1211*H1211</f>
        <v/>
      </c>
      <c r="J1211" s="16" t="inlineStr">
        <is>
          <t>لم يُجرد</t>
        </is>
      </c>
      <c r="K1211" s="14" t="n">
        <v>0</v>
      </c>
      <c r="L1211" s="14" t="n">
        <v>2</v>
      </c>
      <c r="M1211" s="5" t="inlineStr"/>
      <c r="N1211" s="5" t="inlineStr"/>
    </row>
    <row r="1212">
      <c r="A1212" s="13" t="inlineStr">
        <is>
          <t>00021563</t>
        </is>
      </c>
      <c r="B1212" s="5" t="inlineStr">
        <is>
          <t>[00021563] DEXILANT 30MG 28 TAB</t>
        </is>
      </c>
      <c r="C1212" s="5" t="inlineStr">
        <is>
          <t>دواء</t>
        </is>
      </c>
      <c r="D1212" s="13" t="inlineStr"/>
      <c r="E1212" s="14">
        <f>L1212-K1212</f>
        <v/>
      </c>
      <c r="F1212" s="14" t="n">
        <v>0</v>
      </c>
      <c r="G1212" s="14">
        <f>F1212-E1212</f>
        <v/>
      </c>
      <c r="H1212" s="7" t="n">
        <v>72.15000000000001</v>
      </c>
      <c r="I1212" s="7">
        <f>G1212*H1212</f>
        <v/>
      </c>
      <c r="J1212" s="16" t="inlineStr">
        <is>
          <t>لم يُجرد</t>
        </is>
      </c>
      <c r="K1212" s="14" t="n">
        <v>0</v>
      </c>
      <c r="L1212" s="14" t="n">
        <v>0.75</v>
      </c>
      <c r="M1212" s="5" t="inlineStr"/>
      <c r="N1212" s="5" t="inlineStr"/>
    </row>
    <row r="1213">
      <c r="A1213" s="13" t="inlineStr">
        <is>
          <t>00045546</t>
        </is>
      </c>
      <c r="B1213" s="5" t="inlineStr">
        <is>
          <t>[00045546] CENORIL 5MG 30TAB WASF</t>
        </is>
      </c>
      <c r="C1213" s="5" t="inlineStr">
        <is>
          <t>دواء</t>
        </is>
      </c>
      <c r="D1213" s="13" t="inlineStr"/>
      <c r="E1213" s="14">
        <f>L1213-K1213</f>
        <v/>
      </c>
      <c r="F1213" s="14" t="n">
        <v>0</v>
      </c>
      <c r="G1213" s="14">
        <f>F1213-E1213</f>
        <v/>
      </c>
      <c r="H1213" s="7" t="n">
        <v>28.05</v>
      </c>
      <c r="I1213" s="7">
        <f>G1213*H1213</f>
        <v/>
      </c>
      <c r="J1213" s="16" t="inlineStr">
        <is>
          <t>لم يُجرد</t>
        </is>
      </c>
      <c r="K1213" s="14" t="n">
        <v>0</v>
      </c>
      <c r="L1213" s="14" t="n">
        <v>2</v>
      </c>
      <c r="M1213" s="5" t="inlineStr"/>
      <c r="N1213" s="5" t="inlineStr"/>
    </row>
    <row r="1214">
      <c r="A1214" s="13" t="inlineStr">
        <is>
          <t>0004962</t>
        </is>
      </c>
      <c r="B1214" s="5" t="inlineStr">
        <is>
          <t>[0004962] OSTEOCARE SYR* 200 ML</t>
        </is>
      </c>
      <c r="C1214" s="5" t="inlineStr">
        <is>
          <t>دواء</t>
        </is>
      </c>
      <c r="D1214" s="13" t="inlineStr">
        <is>
          <t>5021265227198</t>
        </is>
      </c>
      <c r="E1214" s="14">
        <f>L1214-K1214</f>
        <v/>
      </c>
      <c r="F1214" s="14" t="n">
        <v>0</v>
      </c>
      <c r="G1214" s="14">
        <f>F1214-E1214</f>
        <v/>
      </c>
      <c r="H1214" s="7" t="n">
        <v>20.4</v>
      </c>
      <c r="I1214" s="7">
        <f>G1214*H1214</f>
        <v/>
      </c>
      <c r="J1214" s="16" t="inlineStr">
        <is>
          <t>لم يُجرد</t>
        </is>
      </c>
      <c r="K1214" s="14" t="n">
        <v>0</v>
      </c>
      <c r="L1214" s="14" t="n">
        <v>3</v>
      </c>
      <c r="M1214" s="5" t="inlineStr"/>
      <c r="N1214" s="5" t="inlineStr"/>
    </row>
    <row r="1215">
      <c r="A1215" s="13" t="inlineStr">
        <is>
          <t>00017581</t>
        </is>
      </c>
      <c r="B1215" s="5" t="inlineStr">
        <is>
          <t>[00017581] AZAR-D 50/12.5 MG TAB</t>
        </is>
      </c>
      <c r="C1215" s="5" t="inlineStr">
        <is>
          <t>دواء</t>
        </is>
      </c>
      <c r="D1215" s="13" t="inlineStr">
        <is>
          <t>06281086310106</t>
        </is>
      </c>
      <c r="E1215" s="14">
        <f>L1215-K1215</f>
        <v/>
      </c>
      <c r="F1215" s="14" t="n">
        <v>0</v>
      </c>
      <c r="G1215" s="14">
        <f>F1215-E1215</f>
        <v/>
      </c>
      <c r="H1215" s="7" t="n">
        <v>41.9</v>
      </c>
      <c r="I1215" s="7">
        <f>G1215*H1215</f>
        <v/>
      </c>
      <c r="J1215" s="16" t="inlineStr">
        <is>
          <t>لم يُجرد</t>
        </is>
      </c>
      <c r="K1215" s="14" t="n">
        <v>0</v>
      </c>
      <c r="L1215" s="14" t="n">
        <v>2</v>
      </c>
      <c r="M1215" s="5" t="inlineStr"/>
      <c r="N1215" s="5" t="inlineStr"/>
    </row>
    <row r="1216">
      <c r="A1216" s="13" t="inlineStr">
        <is>
          <t>00021723</t>
        </is>
      </c>
      <c r="B1216" s="5" t="inlineStr">
        <is>
          <t>[00021723] LINDACIL 300 MG CAP WASF</t>
        </is>
      </c>
      <c r="C1216" s="5" t="inlineStr">
        <is>
          <t>دواء</t>
        </is>
      </c>
      <c r="D1216" s="13" t="inlineStr"/>
      <c r="E1216" s="14">
        <f>L1216-K1216</f>
        <v/>
      </c>
      <c r="F1216" s="14" t="n">
        <v>0</v>
      </c>
      <c r="G1216" s="14">
        <f>F1216-E1216</f>
        <v/>
      </c>
      <c r="H1216" s="7" t="n">
        <v>27.9</v>
      </c>
      <c r="I1216" s="7">
        <f>G1216*H1216</f>
        <v/>
      </c>
      <c r="J1216" s="16" t="inlineStr">
        <is>
          <t>لم يُجرد</t>
        </is>
      </c>
      <c r="K1216" s="14" t="n">
        <v>0</v>
      </c>
      <c r="L1216" s="14" t="n">
        <v>2</v>
      </c>
      <c r="M1216" s="5" t="inlineStr"/>
      <c r="N1216" s="5" t="inlineStr"/>
    </row>
    <row r="1217">
      <c r="A1217" s="13" t="inlineStr">
        <is>
          <t>0005203</t>
        </is>
      </c>
      <c r="B1217" s="5" t="inlineStr">
        <is>
          <t>[0005203] REPARIL - N GEL 100 G</t>
        </is>
      </c>
      <c r="C1217" s="5" t="inlineStr">
        <is>
          <t>دواء</t>
        </is>
      </c>
      <c r="D1217" s="13" t="inlineStr">
        <is>
          <t>04030041001892</t>
        </is>
      </c>
      <c r="E1217" s="14">
        <f>L1217-K1217</f>
        <v/>
      </c>
      <c r="F1217" s="14" t="n">
        <v>0</v>
      </c>
      <c r="G1217" s="14">
        <f>F1217-E1217</f>
        <v/>
      </c>
      <c r="H1217" s="7" t="n">
        <v>27.9</v>
      </c>
      <c r="I1217" s="7">
        <f>G1217*H1217</f>
        <v/>
      </c>
      <c r="J1217" s="16" t="inlineStr">
        <is>
          <t>لم يُجرد</t>
        </is>
      </c>
      <c r="K1217" s="14" t="n">
        <v>0</v>
      </c>
      <c r="L1217" s="14" t="n">
        <v>2</v>
      </c>
      <c r="M1217" s="5" t="inlineStr"/>
      <c r="N1217" s="5" t="inlineStr"/>
    </row>
    <row r="1218">
      <c r="A1218" s="13" t="inlineStr">
        <is>
          <t>00045111</t>
        </is>
      </c>
      <c r="B1218" s="5" t="inlineStr">
        <is>
          <t>[00045111] HYDRA SOFT  BODY LOTION 200ML 8629</t>
        </is>
      </c>
      <c r="C1218" s="5" t="inlineStr">
        <is>
          <t>دواء</t>
        </is>
      </c>
      <c r="D1218" s="13" t="inlineStr">
        <is>
          <t>6287002338629</t>
        </is>
      </c>
      <c r="E1218" s="14">
        <f>L1218-K1218</f>
        <v/>
      </c>
      <c r="F1218" s="14" t="n">
        <v>0</v>
      </c>
      <c r="G1218" s="14">
        <f>F1218-E1218</f>
        <v/>
      </c>
      <c r="H1218" s="7" t="n">
        <v>58</v>
      </c>
      <c r="I1218" s="7">
        <f>G1218*H1218</f>
        <v/>
      </c>
      <c r="J1218" s="16" t="inlineStr">
        <is>
          <t>لم يُجرد</t>
        </is>
      </c>
      <c r="K1218" s="14" t="n">
        <v>0</v>
      </c>
      <c r="L1218" s="14" t="n">
        <v>2</v>
      </c>
      <c r="M1218" s="5" t="inlineStr"/>
      <c r="N1218" s="5" t="inlineStr"/>
    </row>
    <row r="1219">
      <c r="A1219" s="13" t="inlineStr">
        <is>
          <t>00039622</t>
        </is>
      </c>
      <c r="B1219" s="5" t="inlineStr">
        <is>
          <t>[00039622] ONDEX ORAL SOLUTION 50ML</t>
        </is>
      </c>
      <c r="C1219" s="5" t="inlineStr">
        <is>
          <t>دواء</t>
        </is>
      </c>
      <c r="D1219" s="13" t="inlineStr"/>
      <c r="E1219" s="14">
        <f>L1219-K1219</f>
        <v/>
      </c>
      <c r="F1219" s="14" t="n">
        <v>0</v>
      </c>
      <c r="G1219" s="14">
        <f>F1219-E1219</f>
        <v/>
      </c>
      <c r="H1219" s="7" t="n">
        <v>90.95</v>
      </c>
      <c r="I1219" s="7">
        <f>G1219*H1219</f>
        <v/>
      </c>
      <c r="J1219" s="16" t="inlineStr">
        <is>
          <t>لم يُجرد</t>
        </is>
      </c>
      <c r="K1219" s="14" t="n">
        <v>0</v>
      </c>
      <c r="L1219" s="14" t="n">
        <v>1</v>
      </c>
      <c r="M1219" s="5" t="inlineStr"/>
      <c r="N1219" s="5" t="inlineStr"/>
    </row>
    <row r="1220">
      <c r="A1220" s="13" t="inlineStr">
        <is>
          <t>0003732</t>
        </is>
      </c>
      <c r="B1220" s="5" t="inlineStr">
        <is>
          <t>[0003732] GASEC 20 MG 14 CAPS</t>
        </is>
      </c>
      <c r="C1220" s="5" t="inlineStr">
        <is>
          <t>دواء</t>
        </is>
      </c>
      <c r="D1220" s="13" t="inlineStr">
        <is>
          <t>06286001000001</t>
        </is>
      </c>
      <c r="E1220" s="14">
        <f>L1220-K1220</f>
        <v/>
      </c>
      <c r="F1220" s="14" t="n">
        <v>0</v>
      </c>
      <c r="G1220" s="14">
        <f>F1220-E1220</f>
        <v/>
      </c>
      <c r="H1220" s="7" t="n">
        <v>32.15</v>
      </c>
      <c r="I1220" s="7">
        <f>G1220*H1220</f>
        <v/>
      </c>
      <c r="J1220" s="16" t="inlineStr">
        <is>
          <t>لم يُجرد</t>
        </is>
      </c>
      <c r="K1220" s="14" t="n">
        <v>0</v>
      </c>
      <c r="L1220" s="14" t="n">
        <v>2</v>
      </c>
      <c r="M1220" s="5" t="inlineStr"/>
      <c r="N1220" s="5" t="inlineStr"/>
    </row>
    <row r="1221">
      <c r="A1221" s="13" t="inlineStr">
        <is>
          <t>00020357</t>
        </is>
      </c>
      <c r="B1221" s="5" t="inlineStr">
        <is>
          <t>[00020357] KIDDY SOFT NAPPY CREAM 100 ML</t>
        </is>
      </c>
      <c r="C1221" s="5" t="inlineStr">
        <is>
          <t>دواء</t>
        </is>
      </c>
      <c r="D1221" s="13" t="inlineStr">
        <is>
          <t>6287002334614</t>
        </is>
      </c>
      <c r="E1221" s="14">
        <f>L1221-K1221</f>
        <v/>
      </c>
      <c r="F1221" s="14" t="n">
        <v>0</v>
      </c>
      <c r="G1221" s="14">
        <f>F1221-E1221</f>
        <v/>
      </c>
      <c r="H1221" s="7" t="n">
        <v>38</v>
      </c>
      <c r="I1221" s="7">
        <f>G1221*H1221</f>
        <v/>
      </c>
      <c r="J1221" s="16" t="inlineStr">
        <is>
          <t>لم يُجرد</t>
        </is>
      </c>
      <c r="K1221" s="14" t="n">
        <v>0</v>
      </c>
      <c r="L1221" s="14" t="n">
        <v>3</v>
      </c>
      <c r="M1221" s="5" t="inlineStr"/>
      <c r="N1221" s="5" t="inlineStr"/>
    </row>
    <row r="1222">
      <c r="A1222" s="13" t="inlineStr">
        <is>
          <t>0004686</t>
        </is>
      </c>
      <c r="B1222" s="5" t="inlineStr">
        <is>
          <t>[0004686] UVAMIN 100 RETADR 20 CAP******</t>
        </is>
      </c>
      <c r="C1222" s="5" t="inlineStr">
        <is>
          <t>دواء</t>
        </is>
      </c>
      <c r="D1222" s="13" t="inlineStr">
        <is>
          <t>01076401530807901721</t>
        </is>
      </c>
      <c r="E1222" s="14">
        <f>L1222-K1222</f>
        <v/>
      </c>
      <c r="F1222" s="14" t="n">
        <v>0</v>
      </c>
      <c r="G1222" s="14">
        <f>F1222-E1222</f>
        <v/>
      </c>
      <c r="H1222" s="7" t="n">
        <v>27.25</v>
      </c>
      <c r="I1222" s="7">
        <f>G1222*H1222</f>
        <v/>
      </c>
      <c r="J1222" s="16" t="inlineStr">
        <is>
          <t>لم يُجرد</t>
        </is>
      </c>
      <c r="K1222" s="14" t="n">
        <v>0</v>
      </c>
      <c r="L1222" s="14" t="n">
        <v>2</v>
      </c>
      <c r="M1222" s="5" t="inlineStr"/>
      <c r="N1222" s="5" t="inlineStr"/>
    </row>
    <row r="1223">
      <c r="A1223" s="13" t="inlineStr">
        <is>
          <t>0005036</t>
        </is>
      </c>
      <c r="B1223" s="5" t="inlineStr">
        <is>
          <t>[0005036] RINOFED PLUS SYRUP 120ML</t>
        </is>
      </c>
      <c r="C1223" s="5" t="inlineStr">
        <is>
          <t>دواء</t>
        </is>
      </c>
      <c r="D1223" s="13" t="inlineStr">
        <is>
          <t>01062851010005081064</t>
        </is>
      </c>
      <c r="E1223" s="14">
        <f>L1223-K1223</f>
        <v/>
      </c>
      <c r="F1223" s="14" t="n">
        <v>0</v>
      </c>
      <c r="G1223" s="14">
        <f>F1223-E1223</f>
        <v/>
      </c>
      <c r="H1223" s="7" t="n">
        <v>10.8</v>
      </c>
      <c r="I1223" s="7">
        <f>G1223*H1223</f>
        <v/>
      </c>
      <c r="J1223" s="16" t="inlineStr">
        <is>
          <t>لم يُجرد</t>
        </is>
      </c>
      <c r="K1223" s="14" t="n">
        <v>0</v>
      </c>
      <c r="L1223" s="14" t="n">
        <v>5</v>
      </c>
      <c r="M1223" s="5" t="inlineStr"/>
      <c r="N1223" s="5" t="inlineStr"/>
    </row>
    <row r="1224">
      <c r="A1224" s="13" t="inlineStr">
        <is>
          <t>00024234</t>
        </is>
      </c>
      <c r="B1224" s="5" t="inlineStr">
        <is>
          <t>[00024234] BACLON 10 MG TAB WASF</t>
        </is>
      </c>
      <c r="C1224" s="5" t="inlineStr">
        <is>
          <t>دواء</t>
        </is>
      </c>
      <c r="D1224" s="13" t="inlineStr"/>
      <c r="E1224" s="14">
        <f>L1224-K1224</f>
        <v/>
      </c>
      <c r="F1224" s="14" t="n">
        <v>0</v>
      </c>
      <c r="G1224" s="14">
        <f>F1224-E1224</f>
        <v/>
      </c>
      <c r="H1224" s="7" t="n">
        <v>31.4</v>
      </c>
      <c r="I1224" s="7">
        <f>G1224*H1224</f>
        <v/>
      </c>
      <c r="J1224" s="16" t="inlineStr">
        <is>
          <t>لم يُجرد</t>
        </is>
      </c>
      <c r="K1224" s="14" t="n">
        <v>0</v>
      </c>
      <c r="L1224" s="14" t="n">
        <v>2</v>
      </c>
      <c r="M1224" s="5" t="inlineStr"/>
      <c r="N1224" s="5" t="inlineStr"/>
    </row>
    <row r="1225">
      <c r="A1225" s="13" t="inlineStr">
        <is>
          <t>00045116</t>
        </is>
      </c>
      <c r="B1225" s="5" t="inlineStr">
        <is>
          <t>[00045116] OTOSAN NASAL WASH KIT +30 SACHET 0158</t>
        </is>
      </c>
      <c r="C1225" s="5" t="inlineStr">
        <is>
          <t>دواء</t>
        </is>
      </c>
      <c r="D1225" s="13" t="inlineStr">
        <is>
          <t>8016887000158</t>
        </is>
      </c>
      <c r="E1225" s="14">
        <f>L1225-K1225</f>
        <v/>
      </c>
      <c r="F1225" s="14" t="n">
        <v>0</v>
      </c>
      <c r="G1225" s="14">
        <f>F1225-E1225</f>
        <v/>
      </c>
      <c r="H1225" s="7" t="n">
        <v>89.5</v>
      </c>
      <c r="I1225" s="7">
        <f>G1225*H1225</f>
        <v/>
      </c>
      <c r="J1225" s="16" t="inlineStr">
        <is>
          <t>لم يُجرد</t>
        </is>
      </c>
      <c r="K1225" s="14" t="n">
        <v>0</v>
      </c>
      <c r="L1225" s="14" t="n">
        <v>1</v>
      </c>
      <c r="M1225" s="5" t="inlineStr"/>
      <c r="N1225" s="5" t="inlineStr"/>
    </row>
    <row r="1226">
      <c r="A1226" s="13" t="inlineStr">
        <is>
          <t>0004533</t>
        </is>
      </c>
      <c r="B1226" s="5" t="inlineStr">
        <is>
          <t>[0004533] ZITHROMAX 250 MG 6 CAPS</t>
        </is>
      </c>
      <c r="C1226" s="5" t="inlineStr">
        <is>
          <t>دواء</t>
        </is>
      </c>
      <c r="D1226" s="13" t="inlineStr">
        <is>
          <t>05415062000991</t>
        </is>
      </c>
      <c r="E1226" s="14">
        <f>L1226-K1226</f>
        <v/>
      </c>
      <c r="F1226" s="14" t="n">
        <v>0</v>
      </c>
      <c r="G1226" s="14">
        <f>F1226-E1226</f>
        <v/>
      </c>
      <c r="H1226" s="7" t="n">
        <v>66.09999999999999</v>
      </c>
      <c r="I1226" s="7">
        <f>G1226*H1226</f>
        <v/>
      </c>
      <c r="J1226" s="16" t="inlineStr">
        <is>
          <t>لم يُجرد</t>
        </is>
      </c>
      <c r="K1226" s="14" t="n">
        <v>0</v>
      </c>
      <c r="L1226" s="14" t="n">
        <v>2</v>
      </c>
      <c r="M1226" s="5" t="inlineStr"/>
      <c r="N1226" s="5" t="inlineStr"/>
    </row>
    <row r="1227">
      <c r="A1227" s="13" t="inlineStr">
        <is>
          <t>00046432</t>
        </is>
      </c>
      <c r="B1227" s="5" t="inlineStr">
        <is>
          <t>[00046432] ARTELAC COMPLETE EYE DROPS</t>
        </is>
      </c>
      <c r="C1227" s="5" t="inlineStr">
        <is>
          <t>دواء</t>
        </is>
      </c>
      <c r="D1227" s="13" t="inlineStr"/>
      <c r="E1227" s="14">
        <f>L1227-K1227</f>
        <v/>
      </c>
      <c r="F1227" s="14" t="n">
        <v>0</v>
      </c>
      <c r="G1227" s="14">
        <f>F1227-E1227</f>
        <v/>
      </c>
      <c r="H1227" s="7" t="n">
        <v>53.6</v>
      </c>
      <c r="I1227" s="7">
        <f>G1227*H1227</f>
        <v/>
      </c>
      <c r="J1227" s="16" t="inlineStr">
        <is>
          <t>لم يُجرد</t>
        </is>
      </c>
      <c r="K1227" s="14" t="n">
        <v>0</v>
      </c>
      <c r="L1227" s="14" t="n">
        <v>1</v>
      </c>
      <c r="M1227" s="5" t="inlineStr"/>
      <c r="N1227" s="5" t="inlineStr"/>
    </row>
    <row r="1228">
      <c r="A1228" s="13" t="inlineStr">
        <is>
          <t>0003451</t>
        </is>
      </c>
      <c r="B1228" s="5" t="inlineStr">
        <is>
          <t>[0003451] HUMULIN R INJECTION 1 VIAL</t>
        </is>
      </c>
      <c r="C1228" s="5" t="inlineStr">
        <is>
          <t>دواء</t>
        </is>
      </c>
      <c r="D1228" s="13" t="inlineStr">
        <is>
          <t>174110002</t>
        </is>
      </c>
      <c r="E1228" s="14">
        <f>L1228-K1228</f>
        <v/>
      </c>
      <c r="F1228" s="14" t="n">
        <v>0</v>
      </c>
      <c r="G1228" s="14">
        <f>F1228-E1228</f>
        <v/>
      </c>
      <c r="H1228" s="7" t="n">
        <v>53.55</v>
      </c>
      <c r="I1228" s="7">
        <f>G1228*H1228</f>
        <v/>
      </c>
      <c r="J1228" s="16" t="inlineStr">
        <is>
          <t>لم يُجرد</t>
        </is>
      </c>
      <c r="K1228" s="14" t="n">
        <v>0</v>
      </c>
      <c r="L1228" s="14" t="n">
        <v>1</v>
      </c>
      <c r="M1228" s="5" t="inlineStr"/>
      <c r="N1228" s="5" t="inlineStr"/>
    </row>
    <row r="1229">
      <c r="A1229" s="13" t="inlineStr">
        <is>
          <t>00036517</t>
        </is>
      </c>
      <c r="B1229" s="5" t="inlineStr">
        <is>
          <t>[00036517] AR VITA-MIN 90TAB8141</t>
        </is>
      </c>
      <c r="C1229" s="5" t="inlineStr">
        <is>
          <t>دواء</t>
        </is>
      </c>
      <c r="D1229" s="13" t="inlineStr">
        <is>
          <t>766961308141</t>
        </is>
      </c>
      <c r="E1229" s="14">
        <f>L1229-K1229</f>
        <v/>
      </c>
      <c r="F1229" s="14" t="n">
        <v>0</v>
      </c>
      <c r="G1229" s="14">
        <f>F1229-E1229</f>
        <v/>
      </c>
      <c r="H1229" s="7" t="n">
        <v>49.5</v>
      </c>
      <c r="I1229" s="7">
        <f>G1229*H1229</f>
        <v/>
      </c>
      <c r="J1229" s="16" t="inlineStr">
        <is>
          <t>لم يُجرد</t>
        </is>
      </c>
      <c r="K1229" s="14" t="n">
        <v>0</v>
      </c>
      <c r="L1229" s="14" t="n">
        <v>2</v>
      </c>
      <c r="M1229" s="5" t="inlineStr"/>
      <c r="N1229" s="5" t="inlineStr"/>
    </row>
    <row r="1230">
      <c r="A1230" s="13" t="inlineStr">
        <is>
          <t>00047178</t>
        </is>
      </c>
      <c r="B1230" s="5" t="inlineStr">
        <is>
          <t>[00047178] ZEMOVIT ZINC SULPHATE 30MG 100TAB 6434</t>
        </is>
      </c>
      <c r="C1230" s="5" t="inlineStr">
        <is>
          <t>دواء</t>
        </is>
      </c>
      <c r="D1230" s="13" t="inlineStr">
        <is>
          <t>744365196434</t>
        </is>
      </c>
      <c r="E1230" s="14">
        <f>L1230-K1230</f>
        <v/>
      </c>
      <c r="F1230" s="14" t="n">
        <v>0</v>
      </c>
      <c r="G1230" s="14">
        <f>F1230-E1230</f>
        <v/>
      </c>
      <c r="H1230" s="7" t="n">
        <v>55.65</v>
      </c>
      <c r="I1230" s="7">
        <f>G1230*H1230</f>
        <v/>
      </c>
      <c r="J1230" s="16" t="inlineStr">
        <is>
          <t>لم يُجرد</t>
        </is>
      </c>
      <c r="K1230" s="14" t="n">
        <v>0</v>
      </c>
      <c r="L1230" s="14" t="n">
        <v>2</v>
      </c>
      <c r="M1230" s="5" t="inlineStr"/>
      <c r="N1230" s="5" t="inlineStr"/>
    </row>
    <row r="1231">
      <c r="A1231" s="13" t="inlineStr">
        <is>
          <t>00025772</t>
        </is>
      </c>
      <c r="B1231" s="5" t="inlineStr">
        <is>
          <t>[00025772] MARNYS CASTOR OIL 60 CAP</t>
        </is>
      </c>
      <c r="C1231" s="5" t="inlineStr">
        <is>
          <t>دواء</t>
        </is>
      </c>
      <c r="D1231" s="13" t="inlineStr">
        <is>
          <t>8410885077493</t>
        </is>
      </c>
      <c r="E1231" s="14">
        <f>L1231-K1231</f>
        <v/>
      </c>
      <c r="F1231" s="14" t="n">
        <v>0</v>
      </c>
      <c r="G1231" s="14">
        <f>F1231-E1231</f>
        <v/>
      </c>
      <c r="H1231" s="7" t="n">
        <v>36.8</v>
      </c>
      <c r="I1231" s="7">
        <f>G1231*H1231</f>
        <v/>
      </c>
      <c r="J1231" s="16" t="inlineStr">
        <is>
          <t>لم يُجرد</t>
        </is>
      </c>
      <c r="K1231" s="14" t="n">
        <v>0</v>
      </c>
      <c r="L1231" s="14" t="n">
        <v>2</v>
      </c>
      <c r="M1231" s="5" t="inlineStr"/>
      <c r="N1231" s="5" t="inlineStr"/>
    </row>
    <row r="1232">
      <c r="A1232" s="13" t="inlineStr">
        <is>
          <t>0004462</t>
        </is>
      </c>
      <c r="B1232" s="5" t="inlineStr">
        <is>
          <t>[0004462] BETADINE ANTISEPTIC SOLN 120ML</t>
        </is>
      </c>
      <c r="C1232" s="5" t="inlineStr">
        <is>
          <t>دواء</t>
        </is>
      </c>
      <c r="D1232" s="13" t="inlineStr">
        <is>
          <t>6281086110201</t>
        </is>
      </c>
      <c r="E1232" s="14">
        <f>L1232-K1232</f>
        <v/>
      </c>
      <c r="F1232" s="14" t="n">
        <v>0</v>
      </c>
      <c r="G1232" s="14">
        <f>F1232-E1232</f>
        <v/>
      </c>
      <c r="H1232" s="7" t="n">
        <v>54.45</v>
      </c>
      <c r="I1232" s="7">
        <f>G1232*H1232</f>
        <v/>
      </c>
      <c r="J1232" s="16" t="inlineStr">
        <is>
          <t>لم يُجرد</t>
        </is>
      </c>
      <c r="K1232" s="14" t="n">
        <v>0</v>
      </c>
      <c r="L1232" s="14" t="n">
        <v>1</v>
      </c>
      <c r="M1232" s="5" t="inlineStr"/>
      <c r="N1232" s="5" t="inlineStr"/>
    </row>
    <row r="1233">
      <c r="A1233" s="13" t="inlineStr">
        <is>
          <t>00017802</t>
        </is>
      </c>
      <c r="B1233" s="5" t="inlineStr">
        <is>
          <t>[00017802] AVALON SALINOSE HYPERTONIC NASAL SPRAY 75 ML.</t>
        </is>
      </c>
      <c r="C1233" s="5" t="inlineStr">
        <is>
          <t>دواء</t>
        </is>
      </c>
      <c r="D1233" s="13" t="inlineStr">
        <is>
          <t>06285095010552</t>
        </is>
      </c>
      <c r="E1233" s="14">
        <f>L1233-K1233</f>
        <v/>
      </c>
      <c r="F1233" s="14" t="n">
        <v>0</v>
      </c>
      <c r="G1233" s="14">
        <f>F1233-E1233</f>
        <v/>
      </c>
      <c r="H1233" s="7" t="n">
        <v>60</v>
      </c>
      <c r="I1233" s="7">
        <f>G1233*H1233</f>
        <v/>
      </c>
      <c r="J1233" s="16" t="inlineStr">
        <is>
          <t>لم يُجرد</t>
        </is>
      </c>
      <c r="K1233" s="14" t="n">
        <v>0</v>
      </c>
      <c r="L1233" s="14" t="n">
        <v>2</v>
      </c>
      <c r="M1233" s="5" t="inlineStr"/>
      <c r="N1233" s="5" t="inlineStr"/>
    </row>
    <row r="1234">
      <c r="A1234" s="13" t="inlineStr">
        <is>
          <t>00046693</t>
        </is>
      </c>
      <c r="B1234" s="5" t="inlineStr">
        <is>
          <t>[00046693] BEPANTHEN CRACKED30GM SKIN OINT</t>
        </is>
      </c>
      <c r="C1234" s="5" t="inlineStr">
        <is>
          <t>دواء</t>
        </is>
      </c>
      <c r="D1234" s="13" t="inlineStr">
        <is>
          <t>6285074005708</t>
        </is>
      </c>
      <c r="E1234" s="14">
        <f>L1234-K1234</f>
        <v/>
      </c>
      <c r="F1234" s="14" t="n">
        <v>0</v>
      </c>
      <c r="G1234" s="14">
        <f>F1234-E1234</f>
        <v/>
      </c>
      <c r="H1234" s="7" t="n">
        <v>26</v>
      </c>
      <c r="I1234" s="7">
        <f>G1234*H1234</f>
        <v/>
      </c>
      <c r="J1234" s="16" t="inlineStr">
        <is>
          <t>لم يُجرد</t>
        </is>
      </c>
      <c r="K1234" s="14" t="n">
        <v>0</v>
      </c>
      <c r="L1234" s="14" t="n">
        <v>2</v>
      </c>
      <c r="M1234" s="5" t="inlineStr"/>
      <c r="N1234" s="5" t="inlineStr"/>
    </row>
    <row r="1235">
      <c r="A1235" s="13" t="inlineStr">
        <is>
          <t>0005810</t>
        </is>
      </c>
      <c r="B1235" s="5" t="inlineStr">
        <is>
          <t>[0005810] LORINE FM 10MG 10TAB</t>
        </is>
      </c>
      <c r="C1235" s="5" t="inlineStr">
        <is>
          <t>دواء</t>
        </is>
      </c>
      <c r="D1235" s="13" t="inlineStr">
        <is>
          <t>06281086002575</t>
        </is>
      </c>
      <c r="E1235" s="14">
        <f>L1235-K1235</f>
        <v/>
      </c>
      <c r="F1235" s="14" t="n">
        <v>0</v>
      </c>
      <c r="G1235" s="14">
        <f>F1235-E1235</f>
        <v/>
      </c>
      <c r="H1235" s="7" t="n">
        <v>17.65</v>
      </c>
      <c r="I1235" s="7">
        <f>G1235*H1235</f>
        <v/>
      </c>
      <c r="J1235" s="16" t="inlineStr">
        <is>
          <t>لم يُجرد</t>
        </is>
      </c>
      <c r="K1235" s="14" t="n">
        <v>0</v>
      </c>
      <c r="L1235" s="14" t="n">
        <v>3</v>
      </c>
      <c r="M1235" s="5" t="inlineStr"/>
      <c r="N1235" s="5" t="inlineStr"/>
    </row>
    <row r="1236">
      <c r="A1236" s="13" t="inlineStr">
        <is>
          <t>00024388</t>
        </is>
      </c>
      <c r="B1236" s="5" t="inlineStr">
        <is>
          <t>[00024388] OMADOX 1000MG 50CP VEGGIE</t>
        </is>
      </c>
      <c r="C1236" s="5" t="inlineStr">
        <is>
          <t>دواء</t>
        </is>
      </c>
      <c r="D1236" s="13" t="inlineStr">
        <is>
          <t>06286069000036</t>
        </is>
      </c>
      <c r="E1236" s="14">
        <f>L1236-K1236</f>
        <v/>
      </c>
      <c r="F1236" s="14" t="n">
        <v>0</v>
      </c>
      <c r="G1236" s="14">
        <f>F1236-E1236</f>
        <v/>
      </c>
      <c r="H1236" s="7" t="n">
        <v>110</v>
      </c>
      <c r="I1236" s="7">
        <f>G1236*H1236</f>
        <v/>
      </c>
      <c r="J1236" s="16" t="inlineStr">
        <is>
          <t>لم يُجرد</t>
        </is>
      </c>
      <c r="K1236" s="14" t="n">
        <v>0</v>
      </c>
      <c r="L1236" s="14" t="n">
        <v>1</v>
      </c>
      <c r="M1236" s="5" t="inlineStr"/>
      <c r="N1236" s="5" t="inlineStr"/>
    </row>
    <row r="1237">
      <c r="A1237" s="13" t="inlineStr">
        <is>
          <t>0004504</t>
        </is>
      </c>
      <c r="B1237" s="5" t="inlineStr">
        <is>
          <t>[0004504] ZELAX 10MG 30CAPS</t>
        </is>
      </c>
      <c r="C1237" s="5" t="inlineStr">
        <is>
          <t>دواء</t>
        </is>
      </c>
      <c r="D1237" s="13" t="inlineStr">
        <is>
          <t>01062515990009241719</t>
        </is>
      </c>
      <c r="E1237" s="14">
        <f>L1237-K1237</f>
        <v/>
      </c>
      <c r="F1237" s="14" t="n">
        <v>0</v>
      </c>
      <c r="G1237" s="14">
        <f>F1237-E1237</f>
        <v/>
      </c>
      <c r="H1237" s="7" t="n">
        <v>54.9</v>
      </c>
      <c r="I1237" s="7">
        <f>G1237*H1237</f>
        <v/>
      </c>
      <c r="J1237" s="16" t="inlineStr">
        <is>
          <t>لم يُجرد</t>
        </is>
      </c>
      <c r="K1237" s="14" t="n">
        <v>0</v>
      </c>
      <c r="L1237" s="14" t="n">
        <v>1</v>
      </c>
      <c r="M1237" s="5" t="inlineStr"/>
      <c r="N1237" s="5" t="inlineStr"/>
    </row>
    <row r="1238">
      <c r="A1238" s="13" t="inlineStr">
        <is>
          <t>0005839</t>
        </is>
      </c>
      <c r="B1238" s="5" t="inlineStr">
        <is>
          <t>[0005839] AUGMENTIN 625MG 20TAB</t>
        </is>
      </c>
      <c r="C1238" s="5" t="inlineStr">
        <is>
          <t>دواء</t>
        </is>
      </c>
      <c r="D1238" s="13" t="inlineStr">
        <is>
          <t>01062850970001241720</t>
        </is>
      </c>
      <c r="E1238" s="14">
        <f>L1238-K1238</f>
        <v/>
      </c>
      <c r="F1238" s="14" t="n">
        <v>0</v>
      </c>
      <c r="G1238" s="14">
        <f>F1238-E1238</f>
        <v/>
      </c>
      <c r="H1238" s="7" t="n">
        <v>63.8</v>
      </c>
      <c r="I1238" s="7">
        <f>G1238*H1238</f>
        <v/>
      </c>
      <c r="J1238" s="16" t="inlineStr">
        <is>
          <t>لم يُجرد</t>
        </is>
      </c>
      <c r="K1238" s="14" t="n">
        <v>0</v>
      </c>
      <c r="L1238" s="14" t="n">
        <v>1</v>
      </c>
      <c r="M1238" s="5" t="inlineStr"/>
      <c r="N1238" s="5" t="inlineStr"/>
    </row>
    <row r="1239">
      <c r="A1239" s="13" t="inlineStr">
        <is>
          <t>0005333</t>
        </is>
      </c>
      <c r="B1239" s="5" t="inlineStr">
        <is>
          <t>[0005333] PERFECTIL 30 CAPS</t>
        </is>
      </c>
      <c r="C1239" s="5" t="inlineStr">
        <is>
          <t>دواء</t>
        </is>
      </c>
      <c r="D1239" s="13" t="inlineStr">
        <is>
          <t>5021265226245</t>
        </is>
      </c>
      <c r="E1239" s="14">
        <f>L1239-K1239</f>
        <v/>
      </c>
      <c r="F1239" s="14" t="n">
        <v>0</v>
      </c>
      <c r="G1239" s="14">
        <f>F1239-E1239</f>
        <v/>
      </c>
      <c r="H1239" s="7" t="n">
        <v>28.85</v>
      </c>
      <c r="I1239" s="7">
        <f>G1239*H1239</f>
        <v/>
      </c>
      <c r="J1239" s="16" t="inlineStr">
        <is>
          <t>لم يُجرد</t>
        </is>
      </c>
      <c r="K1239" s="14" t="n">
        <v>0</v>
      </c>
      <c r="L1239" s="14" t="n">
        <v>2</v>
      </c>
      <c r="M1239" s="5" t="inlineStr"/>
      <c r="N1239" s="5" t="inlineStr"/>
    </row>
    <row r="1240">
      <c r="A1240" s="13" t="inlineStr">
        <is>
          <t>0005826</t>
        </is>
      </c>
      <c r="B1240" s="5" t="inlineStr">
        <is>
          <t>[0005826] ATORVA 40MG 30TAB******</t>
        </is>
      </c>
      <c r="C1240" s="5" t="inlineStr">
        <is>
          <t>دواء</t>
        </is>
      </c>
      <c r="D1240" s="13" t="inlineStr">
        <is>
          <t>01062851010010241011</t>
        </is>
      </c>
      <c r="E1240" s="14">
        <f>L1240-K1240</f>
        <v/>
      </c>
      <c r="F1240" s="14" t="n">
        <v>0</v>
      </c>
      <c r="G1240" s="14">
        <f>F1240-E1240</f>
        <v/>
      </c>
      <c r="H1240" s="7" t="n">
        <v>86.90000000000001</v>
      </c>
      <c r="I1240" s="7">
        <f>G1240*H1240</f>
        <v/>
      </c>
      <c r="J1240" s="16" t="inlineStr">
        <is>
          <t>لم يُجرد</t>
        </is>
      </c>
      <c r="K1240" s="14" t="n">
        <v>0</v>
      </c>
      <c r="L1240" s="14" t="n">
        <v>1</v>
      </c>
      <c r="M1240" s="5" t="inlineStr"/>
      <c r="N1240" s="5" t="inlineStr"/>
    </row>
    <row r="1241">
      <c r="A1241" s="13" t="inlineStr">
        <is>
          <t>00042749</t>
        </is>
      </c>
      <c r="B1241" s="5" t="inlineStr">
        <is>
          <t>[00042749] NOORALYASE 30 TAB 9040</t>
        </is>
      </c>
      <c r="C1241" s="5" t="inlineStr">
        <is>
          <t>دواء</t>
        </is>
      </c>
      <c r="D1241" s="13" t="inlineStr"/>
      <c r="E1241" s="14">
        <f>L1241-K1241</f>
        <v/>
      </c>
      <c r="F1241" s="14" t="n">
        <v>0</v>
      </c>
      <c r="G1241" s="14">
        <f>F1241-E1241</f>
        <v/>
      </c>
      <c r="H1241" s="7" t="n">
        <v>69</v>
      </c>
      <c r="I1241" s="7">
        <f>G1241*H1241</f>
        <v/>
      </c>
      <c r="J1241" s="16" t="inlineStr">
        <is>
          <t>لم يُجرد</t>
        </is>
      </c>
      <c r="K1241" s="14" t="n">
        <v>0</v>
      </c>
      <c r="L1241" s="14" t="n">
        <v>1</v>
      </c>
      <c r="M1241" s="5" t="inlineStr"/>
      <c r="N1241" s="5" t="inlineStr"/>
    </row>
    <row r="1242">
      <c r="A1242" s="13" t="inlineStr">
        <is>
          <t>00020461</t>
        </is>
      </c>
      <c r="B1242" s="5" t="inlineStr">
        <is>
          <t>[00020461] HY SENSE M/WASH 300ML</t>
        </is>
      </c>
      <c r="C1242" s="5" t="inlineStr">
        <is>
          <t>دواء</t>
        </is>
      </c>
      <c r="D1242" s="13" t="inlineStr">
        <is>
          <t>6287017610031</t>
        </is>
      </c>
      <c r="E1242" s="14">
        <f>L1242-K1242</f>
        <v/>
      </c>
      <c r="F1242" s="14" t="n">
        <v>0</v>
      </c>
      <c r="G1242" s="14">
        <f>F1242-E1242</f>
        <v/>
      </c>
      <c r="H1242" s="7" t="n">
        <v>40</v>
      </c>
      <c r="I1242" s="7">
        <f>G1242*H1242</f>
        <v/>
      </c>
      <c r="J1242" s="16" t="inlineStr">
        <is>
          <t>لم يُجرد</t>
        </is>
      </c>
      <c r="K1242" s="14" t="n">
        <v>0</v>
      </c>
      <c r="L1242" s="14" t="n">
        <v>3</v>
      </c>
      <c r="M1242" s="5" t="inlineStr"/>
      <c r="N1242" s="5" t="inlineStr"/>
    </row>
    <row r="1243">
      <c r="A1243" s="13" t="inlineStr">
        <is>
          <t>00016294</t>
        </is>
      </c>
      <c r="B1243" s="5" t="inlineStr">
        <is>
          <t>[00016294] MOXIDAD FORTE 500 MG CAP</t>
        </is>
      </c>
      <c r="C1243" s="5" t="inlineStr">
        <is>
          <t>دواء</t>
        </is>
      </c>
      <c r="D1243" s="13" t="inlineStr"/>
      <c r="E1243" s="14">
        <f>L1243-K1243</f>
        <v/>
      </c>
      <c r="F1243" s="14" t="n">
        <v>0</v>
      </c>
      <c r="G1243" s="14">
        <f>F1243-E1243</f>
        <v/>
      </c>
      <c r="H1243" s="7" t="n">
        <v>12.9</v>
      </c>
      <c r="I1243" s="7">
        <f>G1243*H1243</f>
        <v/>
      </c>
      <c r="J1243" s="16" t="inlineStr">
        <is>
          <t>لم يُجرد</t>
        </is>
      </c>
      <c r="K1243" s="14" t="n">
        <v>0</v>
      </c>
      <c r="L1243" s="14" t="n">
        <v>4</v>
      </c>
      <c r="M1243" s="5" t="inlineStr"/>
      <c r="N1243" s="5" t="inlineStr"/>
    </row>
    <row r="1244">
      <c r="A1244" s="13" t="inlineStr">
        <is>
          <t>00016327</t>
        </is>
      </c>
      <c r="B1244" s="5" t="inlineStr">
        <is>
          <t>[00016327] AVALON ANTISEPTIC SOL 250ML</t>
        </is>
      </c>
      <c r="C1244" s="5" t="inlineStr">
        <is>
          <t>دواء</t>
        </is>
      </c>
      <c r="D1244" s="13" t="inlineStr">
        <is>
          <t>06285095007941</t>
        </is>
      </c>
      <c r="E1244" s="14">
        <f>L1244-K1244</f>
        <v/>
      </c>
      <c r="F1244" s="14" t="n">
        <v>0</v>
      </c>
      <c r="G1244" s="14">
        <f>F1244-E1244</f>
        <v/>
      </c>
      <c r="H1244" s="7" t="n">
        <v>55</v>
      </c>
      <c r="I1244" s="7">
        <f>G1244*H1244</f>
        <v/>
      </c>
      <c r="J1244" s="16" t="inlineStr">
        <is>
          <t>لم يُجرد</t>
        </is>
      </c>
      <c r="K1244" s="14" t="n">
        <v>0</v>
      </c>
      <c r="L1244" s="14" t="n">
        <v>2</v>
      </c>
      <c r="M1244" s="5" t="inlineStr"/>
      <c r="N1244" s="5" t="inlineStr"/>
    </row>
    <row r="1245">
      <c r="A1245" s="13" t="inlineStr">
        <is>
          <t>0005843</t>
        </is>
      </c>
      <c r="B1245" s="5" t="inlineStr">
        <is>
          <t>[0005843] AVALON ADOLINE 01% CREAM 30GM</t>
        </is>
      </c>
      <c r="C1245" s="5" t="inlineStr">
        <is>
          <t>دواء</t>
        </is>
      </c>
      <c r="D1245" s="13" t="inlineStr">
        <is>
          <t>06285095004728</t>
        </is>
      </c>
      <c r="E1245" s="14">
        <f>L1245-K1245</f>
        <v/>
      </c>
      <c r="F1245" s="14" t="n">
        <v>0</v>
      </c>
      <c r="G1245" s="14">
        <f>F1245-E1245</f>
        <v/>
      </c>
      <c r="H1245" s="7" t="n">
        <v>17.15</v>
      </c>
      <c r="I1245" s="7">
        <f>G1245*H1245</f>
        <v/>
      </c>
      <c r="J1245" s="16" t="inlineStr">
        <is>
          <t>لم يُجرد</t>
        </is>
      </c>
      <c r="K1245" s="14" t="n">
        <v>0</v>
      </c>
      <c r="L1245" s="14" t="n">
        <v>3</v>
      </c>
      <c r="M1245" s="5" t="inlineStr"/>
      <c r="N1245" s="5" t="inlineStr"/>
    </row>
    <row r="1246">
      <c r="A1246" s="13" t="inlineStr">
        <is>
          <t>0005844</t>
        </is>
      </c>
      <c r="B1246" s="5" t="inlineStr">
        <is>
          <t>[0005844] AVALON ADOLINE 01% GEL 30GM</t>
        </is>
      </c>
      <c r="C1246" s="5" t="inlineStr">
        <is>
          <t>دواء</t>
        </is>
      </c>
      <c r="D1246" s="13" t="inlineStr"/>
      <c r="E1246" s="14">
        <f>L1246-K1246</f>
        <v/>
      </c>
      <c r="F1246" s="14" t="n">
        <v>0</v>
      </c>
      <c r="G1246" s="14">
        <f>F1246-E1246</f>
        <v/>
      </c>
      <c r="H1246" s="7" t="n">
        <v>17.15</v>
      </c>
      <c r="I1246" s="7">
        <f>G1246*H1246</f>
        <v/>
      </c>
      <c r="J1246" s="16" t="inlineStr">
        <is>
          <t>لم يُجرد</t>
        </is>
      </c>
      <c r="K1246" s="14" t="n">
        <v>0</v>
      </c>
      <c r="L1246" s="14" t="n">
        <v>3</v>
      </c>
      <c r="M1246" s="5" t="inlineStr"/>
      <c r="N1246" s="5" t="inlineStr"/>
    </row>
    <row r="1247">
      <c r="A1247" s="13" t="inlineStr">
        <is>
          <t>0005550</t>
        </is>
      </c>
      <c r="B1247" s="5" t="inlineStr">
        <is>
          <t>[0005550] MOTILIUM 10 MG 30 TAB</t>
        </is>
      </c>
      <c r="C1247" s="5" t="inlineStr">
        <is>
          <t>دواء</t>
        </is>
      </c>
      <c r="D1247" s="13" t="inlineStr">
        <is>
          <t>05413868100327</t>
        </is>
      </c>
      <c r="E1247" s="14">
        <f>L1247-K1247</f>
        <v/>
      </c>
      <c r="F1247" s="14" t="n">
        <v>0</v>
      </c>
      <c r="G1247" s="14">
        <f>F1247-E1247</f>
        <v/>
      </c>
      <c r="H1247" s="7" t="n">
        <v>17.1</v>
      </c>
      <c r="I1247" s="7">
        <f>G1247*H1247</f>
        <v/>
      </c>
      <c r="J1247" s="16" t="inlineStr">
        <is>
          <t>لم يُجرد</t>
        </is>
      </c>
      <c r="K1247" s="14" t="n">
        <v>0</v>
      </c>
      <c r="L1247" s="14" t="n">
        <v>3</v>
      </c>
      <c r="M1247" s="5" t="inlineStr"/>
      <c r="N1247" s="5" t="inlineStr"/>
    </row>
    <row r="1248">
      <c r="A1248" s="13" t="inlineStr">
        <is>
          <t>00037940</t>
        </is>
      </c>
      <c r="B1248" s="5" t="inlineStr">
        <is>
          <t>[00037940] TRI OMEGA 30 CAP</t>
        </is>
      </c>
      <c r="C1248" s="5" t="inlineStr">
        <is>
          <t>دواء</t>
        </is>
      </c>
      <c r="D1248" s="13" t="inlineStr">
        <is>
          <t>0795044248555</t>
        </is>
      </c>
      <c r="E1248" s="14">
        <f>L1248-K1248</f>
        <v/>
      </c>
      <c r="F1248" s="14" t="n">
        <v>0</v>
      </c>
      <c r="G1248" s="14">
        <f>F1248-E1248</f>
        <v/>
      </c>
      <c r="H1248" s="7" t="n">
        <v>95</v>
      </c>
      <c r="I1248" s="7">
        <f>G1248*H1248</f>
        <v/>
      </c>
      <c r="J1248" s="16" t="inlineStr">
        <is>
          <t>لم يُجرد</t>
        </is>
      </c>
      <c r="K1248" s="14" t="n">
        <v>0</v>
      </c>
      <c r="L1248" s="14" t="n">
        <v>1</v>
      </c>
      <c r="M1248" s="5" t="inlineStr"/>
      <c r="N1248" s="5" t="inlineStr"/>
    </row>
    <row r="1249">
      <c r="A1249" s="13" t="inlineStr">
        <is>
          <t>0003506</t>
        </is>
      </c>
      <c r="B1249" s="5" t="inlineStr">
        <is>
          <t>[0003506] GUPISONE 5MG 20 TAB</t>
        </is>
      </c>
      <c r="C1249" s="5" t="inlineStr">
        <is>
          <t>دواء</t>
        </is>
      </c>
      <c r="D1249" s="13" t="inlineStr">
        <is>
          <t>06291100081271</t>
        </is>
      </c>
      <c r="E1249" s="14">
        <f>L1249-K1249</f>
        <v/>
      </c>
      <c r="F1249" s="14" t="n">
        <v>0</v>
      </c>
      <c r="G1249" s="14">
        <f>F1249-E1249</f>
        <v/>
      </c>
      <c r="H1249" s="7" t="n">
        <v>8.449999999999999</v>
      </c>
      <c r="I1249" s="7">
        <f>G1249*H1249</f>
        <v/>
      </c>
      <c r="J1249" s="16" t="inlineStr">
        <is>
          <t>لم يُجرد</t>
        </is>
      </c>
      <c r="K1249" s="14" t="n">
        <v>0</v>
      </c>
      <c r="L1249" s="14" t="n">
        <v>6</v>
      </c>
      <c r="M1249" s="5" t="inlineStr"/>
      <c r="N1249" s="5" t="inlineStr"/>
    </row>
    <row r="1250">
      <c r="A1250" s="13" t="inlineStr">
        <is>
          <t>0005073</t>
        </is>
      </c>
      <c r="B1250" s="5" t="inlineStr">
        <is>
          <t>[0005073] RHINOCORT N. SPRAY 10ML</t>
        </is>
      </c>
      <c r="C1250" s="5" t="inlineStr">
        <is>
          <t>دواء</t>
        </is>
      </c>
      <c r="D1250" s="13" t="inlineStr"/>
      <c r="E1250" s="14">
        <f>L1250-K1250</f>
        <v/>
      </c>
      <c r="F1250" s="14" t="n">
        <v>0</v>
      </c>
      <c r="G1250" s="14">
        <f>F1250-E1250</f>
        <v/>
      </c>
      <c r="H1250" s="7" t="n">
        <v>50.65</v>
      </c>
      <c r="I1250" s="7">
        <f>G1250*H1250</f>
        <v/>
      </c>
      <c r="J1250" s="16" t="inlineStr">
        <is>
          <t>لم يُجرد</t>
        </is>
      </c>
      <c r="K1250" s="14" t="n">
        <v>0</v>
      </c>
      <c r="L1250" s="14" t="n">
        <v>1</v>
      </c>
      <c r="M1250" s="5" t="inlineStr"/>
      <c r="N1250" s="5" t="inlineStr"/>
    </row>
    <row r="1251">
      <c r="A1251" s="13" t="inlineStr">
        <is>
          <t>00044931</t>
        </is>
      </c>
      <c r="B1251" s="5" t="inlineStr">
        <is>
          <t>[00044931] BOND3 EXTRA ORAL DROPS 30ML</t>
        </is>
      </c>
      <c r="C1251" s="5" t="inlineStr">
        <is>
          <t>دواء</t>
        </is>
      </c>
      <c r="D1251" s="13" t="inlineStr">
        <is>
          <t>795044248128</t>
        </is>
      </c>
      <c r="E1251" s="14">
        <f>L1251-K1251</f>
        <v/>
      </c>
      <c r="F1251" s="14" t="n">
        <v>0</v>
      </c>
      <c r="G1251" s="14">
        <f>F1251-E1251</f>
        <v/>
      </c>
      <c r="H1251" s="7" t="n">
        <v>49</v>
      </c>
      <c r="I1251" s="7">
        <f>G1251*H1251</f>
        <v/>
      </c>
      <c r="J1251" s="16" t="inlineStr">
        <is>
          <t>لم يُجرد</t>
        </is>
      </c>
      <c r="K1251" s="14" t="n">
        <v>0</v>
      </c>
      <c r="L1251" s="14" t="n">
        <v>2</v>
      </c>
      <c r="M1251" s="5" t="inlineStr"/>
      <c r="N1251" s="5" t="inlineStr"/>
    </row>
    <row r="1252">
      <c r="A1252" s="13" t="inlineStr">
        <is>
          <t>0003092</t>
        </is>
      </c>
      <c r="B1252" s="5" t="inlineStr">
        <is>
          <t>[0003092] FUSIDERM OINT 2% 15GM</t>
        </is>
      </c>
      <c r="C1252" s="5" t="inlineStr">
        <is>
          <t>دواء</t>
        </is>
      </c>
      <c r="D1252" s="13" t="inlineStr">
        <is>
          <t>01062810860011891010</t>
        </is>
      </c>
      <c r="E1252" s="14">
        <f>L1252-K1252</f>
        <v/>
      </c>
      <c r="F1252" s="14" t="n">
        <v>0</v>
      </c>
      <c r="G1252" s="14">
        <f>F1252-E1252</f>
        <v/>
      </c>
      <c r="H1252" s="7" t="n">
        <v>10.1</v>
      </c>
      <c r="I1252" s="7">
        <f>G1252*H1252</f>
        <v/>
      </c>
      <c r="J1252" s="16" t="inlineStr">
        <is>
          <t>لم يُجرد</t>
        </is>
      </c>
      <c r="K1252" s="14" t="n">
        <v>0</v>
      </c>
      <c r="L1252" s="14" t="n">
        <v>5</v>
      </c>
      <c r="M1252" s="5" t="inlineStr"/>
      <c r="N1252" s="5" t="inlineStr"/>
    </row>
    <row r="1253">
      <c r="A1253" s="13" t="inlineStr">
        <is>
          <t>0003519</t>
        </is>
      </c>
      <c r="B1253" s="5" t="inlineStr">
        <is>
          <t>[0003519] GYNO DAKTARIN VAG CREAM</t>
        </is>
      </c>
      <c r="C1253" s="5" t="inlineStr">
        <is>
          <t>دواء</t>
        </is>
      </c>
      <c r="D1253" s="13" t="inlineStr">
        <is>
          <t>01054138681001672110</t>
        </is>
      </c>
      <c r="E1253" s="14">
        <f>L1253-K1253</f>
        <v/>
      </c>
      <c r="F1253" s="14" t="n">
        <v>0</v>
      </c>
      <c r="G1253" s="14">
        <f>F1253-E1253</f>
        <v/>
      </c>
      <c r="H1253" s="7" t="n">
        <v>25.2</v>
      </c>
      <c r="I1253" s="7">
        <f>G1253*H1253</f>
        <v/>
      </c>
      <c r="J1253" s="16" t="inlineStr">
        <is>
          <t>لم يُجرد</t>
        </is>
      </c>
      <c r="K1253" s="14" t="n">
        <v>0</v>
      </c>
      <c r="L1253" s="14" t="n">
        <v>2</v>
      </c>
      <c r="M1253" s="5" t="inlineStr"/>
      <c r="N1253" s="5" t="inlineStr"/>
    </row>
    <row r="1254">
      <c r="A1254" s="13" t="inlineStr">
        <is>
          <t>00020353</t>
        </is>
      </c>
      <c r="B1254" s="5" t="inlineStr">
        <is>
          <t>[00020353] DENTA CALM ORAL GEL 30ML</t>
        </is>
      </c>
      <c r="C1254" s="5" t="inlineStr">
        <is>
          <t>دواء</t>
        </is>
      </c>
      <c r="D1254" s="13" t="inlineStr">
        <is>
          <t>6287002334591</t>
        </is>
      </c>
      <c r="E1254" s="14">
        <f>L1254-K1254</f>
        <v/>
      </c>
      <c r="F1254" s="14" t="n">
        <v>0</v>
      </c>
      <c r="G1254" s="14">
        <f>F1254-E1254</f>
        <v/>
      </c>
      <c r="H1254" s="7" t="n">
        <v>35</v>
      </c>
      <c r="I1254" s="7">
        <f>G1254*H1254</f>
        <v/>
      </c>
      <c r="J1254" s="16" t="inlineStr">
        <is>
          <t>لم يُجرد</t>
        </is>
      </c>
      <c r="K1254" s="14" t="n">
        <v>0</v>
      </c>
      <c r="L1254" s="14" t="n">
        <v>3</v>
      </c>
      <c r="M1254" s="5" t="inlineStr"/>
      <c r="N1254" s="5" t="inlineStr"/>
    </row>
    <row r="1255">
      <c r="A1255" s="13" t="inlineStr">
        <is>
          <t>00016736</t>
        </is>
      </c>
      <c r="B1255" s="5" t="inlineStr">
        <is>
          <t>[00016736] GAVISCON DOUBLE ACTION SYRUP 300ML</t>
        </is>
      </c>
      <c r="C1255" s="5" t="inlineStr">
        <is>
          <t>دواء</t>
        </is>
      </c>
      <c r="D1255" s="13" t="inlineStr"/>
      <c r="E1255" s="14">
        <f>L1255-K1255</f>
        <v/>
      </c>
      <c r="F1255" s="14" t="n">
        <v>0</v>
      </c>
      <c r="G1255" s="14">
        <f>F1255-E1255</f>
        <v/>
      </c>
      <c r="H1255" s="7" t="n">
        <v>25.1</v>
      </c>
      <c r="I1255" s="7">
        <f>G1255*H1255</f>
        <v/>
      </c>
      <c r="J1255" s="16" t="inlineStr">
        <is>
          <t>لم يُجرد</t>
        </is>
      </c>
      <c r="K1255" s="14" t="n">
        <v>0</v>
      </c>
      <c r="L1255" s="14" t="n">
        <v>2</v>
      </c>
      <c r="M1255" s="5" t="inlineStr"/>
      <c r="N1255" s="5" t="inlineStr"/>
    </row>
    <row r="1256">
      <c r="A1256" s="13" t="inlineStr">
        <is>
          <t>0003666</t>
        </is>
      </c>
      <c r="B1256" s="5" t="inlineStr">
        <is>
          <t>[0003666] FLUMED DM PAED SYRUP 100ML</t>
        </is>
      </c>
      <c r="C1256" s="5" t="inlineStr">
        <is>
          <t>دواء</t>
        </is>
      </c>
      <c r="D1256" s="13" t="inlineStr">
        <is>
          <t>6281080001475</t>
        </is>
      </c>
      <c r="E1256" s="14">
        <f>L1256-K1256</f>
        <v/>
      </c>
      <c r="F1256" s="14" t="n">
        <v>0</v>
      </c>
      <c r="G1256" s="14">
        <f>F1256-E1256</f>
        <v/>
      </c>
      <c r="H1256" s="7" t="n">
        <v>11.8</v>
      </c>
      <c r="I1256" s="7">
        <f>G1256*H1256</f>
        <v/>
      </c>
      <c r="J1256" s="16" t="inlineStr">
        <is>
          <t>لم يُجرد</t>
        </is>
      </c>
      <c r="K1256" s="14" t="n">
        <v>0</v>
      </c>
      <c r="L1256" s="14" t="n">
        <v>6</v>
      </c>
      <c r="M1256" s="5" t="inlineStr"/>
      <c r="N1256" s="5" t="inlineStr"/>
    </row>
    <row r="1257">
      <c r="A1257" s="13" t="inlineStr">
        <is>
          <t>0004399</t>
        </is>
      </c>
      <c r="B1257" s="5" t="inlineStr">
        <is>
          <t>[0004399] ACTOS 15MG 30TAB***</t>
        </is>
      </c>
      <c r="C1257" s="5" t="inlineStr">
        <is>
          <t>دواء</t>
        </is>
      </c>
      <c r="D1257" s="13" t="inlineStr">
        <is>
          <t>6251159024612</t>
        </is>
      </c>
      <c r="E1257" s="14">
        <f>L1257-K1257</f>
        <v/>
      </c>
      <c r="F1257" s="14" t="n">
        <v>0</v>
      </c>
      <c r="G1257" s="14">
        <f>F1257-E1257</f>
        <v/>
      </c>
      <c r="H1257" s="7" t="n">
        <v>51.7</v>
      </c>
      <c r="I1257" s="7">
        <f>G1257*H1257</f>
        <v/>
      </c>
      <c r="J1257" s="16" t="inlineStr">
        <is>
          <t>لم يُجرد</t>
        </is>
      </c>
      <c r="K1257" s="14" t="n">
        <v>0</v>
      </c>
      <c r="L1257" s="14" t="n">
        <v>1</v>
      </c>
      <c r="M1257" s="5" t="inlineStr"/>
      <c r="N1257" s="5" t="inlineStr"/>
    </row>
    <row r="1258">
      <c r="A1258" s="13" t="inlineStr">
        <is>
          <t>0005686</t>
        </is>
      </c>
      <c r="B1258" s="5" t="inlineStr">
        <is>
          <t>[0005686] METAZ OINT 30GM</t>
        </is>
      </c>
      <c r="C1258" s="5" t="inlineStr">
        <is>
          <t>دواء</t>
        </is>
      </c>
      <c r="D1258" s="13" t="inlineStr"/>
      <c r="E1258" s="14">
        <f>L1258-K1258</f>
        <v/>
      </c>
      <c r="F1258" s="14" t="n">
        <v>0</v>
      </c>
      <c r="G1258" s="14">
        <f>F1258-E1258</f>
        <v/>
      </c>
      <c r="H1258" s="7" t="n">
        <v>19.95</v>
      </c>
      <c r="I1258" s="7">
        <f>G1258*H1258</f>
        <v/>
      </c>
      <c r="J1258" s="16" t="inlineStr">
        <is>
          <t>لم يُجرد</t>
        </is>
      </c>
      <c r="K1258" s="14" t="n">
        <v>0</v>
      </c>
      <c r="L1258" s="14" t="n">
        <v>5</v>
      </c>
      <c r="M1258" s="5" t="inlineStr"/>
      <c r="N1258" s="5" t="inlineStr"/>
    </row>
    <row r="1259">
      <c r="A1259" s="13" t="inlineStr">
        <is>
          <t>0004119</t>
        </is>
      </c>
      <c r="B1259" s="5" t="inlineStr">
        <is>
          <t>[0004119] CONTRA 15/200 SOFTGEL 30CAP</t>
        </is>
      </c>
      <c r="C1259" s="5" t="inlineStr">
        <is>
          <t>دواء</t>
        </is>
      </c>
      <c r="D1259" s="13" t="inlineStr">
        <is>
          <t>06285128006477</t>
        </is>
      </c>
      <c r="E1259" s="14">
        <f>L1259-K1259</f>
        <v/>
      </c>
      <c r="F1259" s="14" t="n">
        <v>0</v>
      </c>
      <c r="G1259" s="14">
        <f>F1259-E1259</f>
        <v/>
      </c>
      <c r="H1259" s="7" t="n">
        <v>29.75</v>
      </c>
      <c r="I1259" s="7">
        <f>G1259*H1259</f>
        <v/>
      </c>
      <c r="J1259" s="16" t="inlineStr">
        <is>
          <t>لم يُجرد</t>
        </is>
      </c>
      <c r="K1259" s="14" t="n">
        <v>0</v>
      </c>
      <c r="L1259" s="14" t="n">
        <v>2.67</v>
      </c>
      <c r="M1259" s="5" t="inlineStr"/>
      <c r="N1259" s="5" t="inlineStr"/>
    </row>
    <row r="1260">
      <c r="A1260" s="13" t="inlineStr">
        <is>
          <t>0005699</t>
        </is>
      </c>
      <c r="B1260" s="5" t="inlineStr">
        <is>
          <t>[0005699] MICARDIS 40MG 28TAB</t>
        </is>
      </c>
      <c r="C1260" s="5" t="inlineStr">
        <is>
          <t>دواء</t>
        </is>
      </c>
      <c r="D1260" s="13" t="inlineStr">
        <is>
          <t>01062850790013471720</t>
        </is>
      </c>
      <c r="E1260" s="14">
        <f>L1260-K1260</f>
        <v/>
      </c>
      <c r="F1260" s="14" t="n">
        <v>0</v>
      </c>
      <c r="G1260" s="14">
        <f>F1260-E1260</f>
        <v/>
      </c>
      <c r="H1260" s="7" t="n">
        <v>49.6</v>
      </c>
      <c r="I1260" s="7">
        <f>G1260*H1260</f>
        <v/>
      </c>
      <c r="J1260" s="16" t="inlineStr">
        <is>
          <t>لم يُجرد</t>
        </is>
      </c>
      <c r="K1260" s="14" t="n">
        <v>0</v>
      </c>
      <c r="L1260" s="14" t="n">
        <v>1</v>
      </c>
      <c r="M1260" s="5" t="inlineStr"/>
      <c r="N1260" s="5" t="inlineStr"/>
    </row>
    <row r="1261">
      <c r="A1261" s="13" t="inlineStr">
        <is>
          <t>0003382</t>
        </is>
      </c>
      <c r="B1261" s="5" t="inlineStr">
        <is>
          <t>[0003382] JOFLAM 50MG FC 20TAB</t>
        </is>
      </c>
      <c r="C1261" s="5" t="inlineStr">
        <is>
          <t>دواء</t>
        </is>
      </c>
      <c r="D1261" s="13" t="inlineStr">
        <is>
          <t>01062511440011851117</t>
        </is>
      </c>
      <c r="E1261" s="14">
        <f>L1261-K1261</f>
        <v/>
      </c>
      <c r="F1261" s="14" t="n">
        <v>0</v>
      </c>
      <c r="G1261" s="14">
        <f>F1261-E1261</f>
        <v/>
      </c>
      <c r="H1261" s="7" t="n">
        <v>12.4</v>
      </c>
      <c r="I1261" s="7">
        <f>G1261*H1261</f>
        <v/>
      </c>
      <c r="J1261" s="16" t="inlineStr">
        <is>
          <t>لم يُجرد</t>
        </is>
      </c>
      <c r="K1261" s="14" t="n">
        <v>0</v>
      </c>
      <c r="L1261" s="14" t="n">
        <v>4</v>
      </c>
      <c r="M1261" s="5" t="inlineStr"/>
      <c r="N1261" s="5" t="inlineStr"/>
    </row>
    <row r="1262">
      <c r="A1262" s="13" t="inlineStr">
        <is>
          <t>0004452</t>
        </is>
      </c>
      <c r="B1262" s="5" t="inlineStr">
        <is>
          <t>[0004452] BEPANTHEN PLUS CREAM 30GM</t>
        </is>
      </c>
      <c r="C1262" s="5" t="inlineStr">
        <is>
          <t>دواء</t>
        </is>
      </c>
      <c r="D1262" s="13" t="inlineStr">
        <is>
          <t>01062850740008402159</t>
        </is>
      </c>
      <c r="E1262" s="14">
        <f>L1262-K1262</f>
        <v/>
      </c>
      <c r="F1262" s="14" t="n">
        <v>0</v>
      </c>
      <c r="G1262" s="14">
        <f>F1262-E1262</f>
        <v/>
      </c>
      <c r="H1262" s="7" t="n">
        <v>12.35</v>
      </c>
      <c r="I1262" s="7">
        <f>G1262*H1262</f>
        <v/>
      </c>
      <c r="J1262" s="16" t="inlineStr">
        <is>
          <t>لم يُجرد</t>
        </is>
      </c>
      <c r="K1262" s="14" t="n">
        <v>0</v>
      </c>
      <c r="L1262" s="14" t="n">
        <v>4</v>
      </c>
      <c r="M1262" s="5" t="inlineStr"/>
      <c r="N1262" s="5" t="inlineStr"/>
    </row>
    <row r="1263">
      <c r="A1263" s="13" t="inlineStr">
        <is>
          <t>00019289</t>
        </is>
      </c>
      <c r="B1263" s="5" t="inlineStr">
        <is>
          <t>[00019289] NORACTONE 25MG TAB*****</t>
        </is>
      </c>
      <c r="C1263" s="5" t="inlineStr">
        <is>
          <t>دواء</t>
        </is>
      </c>
      <c r="D1263" s="13" t="inlineStr">
        <is>
          <t>06251154093019</t>
        </is>
      </c>
      <c r="E1263" s="14">
        <f>L1263-K1263</f>
        <v/>
      </c>
      <c r="F1263" s="14" t="n">
        <v>0</v>
      </c>
      <c r="G1263" s="14">
        <f>F1263-E1263</f>
        <v/>
      </c>
      <c r="H1263" s="7" t="n">
        <v>9.050000000000001</v>
      </c>
      <c r="I1263" s="7">
        <f>G1263*H1263</f>
        <v/>
      </c>
      <c r="J1263" s="16" t="inlineStr">
        <is>
          <t>لم يُجرد</t>
        </is>
      </c>
      <c r="K1263" s="14" t="n">
        <v>0</v>
      </c>
      <c r="L1263" s="14" t="n">
        <v>6</v>
      </c>
      <c r="M1263" s="5" t="inlineStr"/>
      <c r="N1263" s="5" t="inlineStr"/>
    </row>
    <row r="1264">
      <c r="A1264" s="13" t="inlineStr">
        <is>
          <t>0005639</t>
        </is>
      </c>
      <c r="B1264" s="5" t="inlineStr">
        <is>
          <t>[0005639] MARNYS NEOCARBON 30 CAPS</t>
        </is>
      </c>
      <c r="C1264" s="5" t="inlineStr">
        <is>
          <t>دواء</t>
        </is>
      </c>
      <c r="D1264" s="13" t="inlineStr">
        <is>
          <t>8410885080233</t>
        </is>
      </c>
      <c r="E1264" s="14">
        <f>L1264-K1264</f>
        <v/>
      </c>
      <c r="F1264" s="14" t="n">
        <v>0</v>
      </c>
      <c r="G1264" s="14">
        <f>F1264-E1264</f>
        <v/>
      </c>
      <c r="H1264" s="7" t="n">
        <v>12.95</v>
      </c>
      <c r="I1264" s="7">
        <f>G1264*H1264</f>
        <v/>
      </c>
      <c r="J1264" s="16" t="inlineStr">
        <is>
          <t>لم يُجرد</t>
        </is>
      </c>
      <c r="K1264" s="14" t="n">
        <v>0</v>
      </c>
      <c r="L1264" s="14" t="n">
        <v>4</v>
      </c>
      <c r="M1264" s="5" t="inlineStr"/>
      <c r="N1264" s="5" t="inlineStr"/>
    </row>
    <row r="1265">
      <c r="A1265" s="13" t="inlineStr">
        <is>
          <t>0005682</t>
        </is>
      </c>
      <c r="B1265" s="5" t="inlineStr">
        <is>
          <t>[0005682] MENTEX SYRUP WASFA</t>
        </is>
      </c>
      <c r="C1265" s="5" t="inlineStr">
        <is>
          <t>دواء</t>
        </is>
      </c>
      <c r="D1265" s="13" t="inlineStr">
        <is>
          <t>06285147800490</t>
        </is>
      </c>
      <c r="E1265" s="14">
        <f>L1265-K1265</f>
        <v/>
      </c>
      <c r="F1265" s="14" t="n">
        <v>0</v>
      </c>
      <c r="G1265" s="14">
        <f>F1265-E1265</f>
        <v/>
      </c>
      <c r="H1265" s="7" t="n">
        <v>11.7</v>
      </c>
      <c r="I1265" s="7">
        <f>G1265*H1265</f>
        <v/>
      </c>
      <c r="J1265" s="16" t="inlineStr">
        <is>
          <t>لم يُجرد</t>
        </is>
      </c>
      <c r="K1265" s="14" t="n">
        <v>0</v>
      </c>
      <c r="L1265" s="14" t="n">
        <v>6</v>
      </c>
      <c r="M1265" s="5" t="inlineStr"/>
      <c r="N1265" s="5" t="inlineStr"/>
    </row>
    <row r="1266">
      <c r="A1266" s="13" t="inlineStr">
        <is>
          <t>00044599</t>
        </is>
      </c>
      <c r="B1266" s="5" t="inlineStr">
        <is>
          <t>[00044599] FUSIDERM OINT 2%30GM</t>
        </is>
      </c>
      <c r="C1266" s="5" t="inlineStr">
        <is>
          <t>دواء</t>
        </is>
      </c>
      <c r="D1266" s="13" t="inlineStr"/>
      <c r="E1266" s="14">
        <f>L1266-K1266</f>
        <v/>
      </c>
      <c r="F1266" s="14" t="n">
        <v>0</v>
      </c>
      <c r="G1266" s="14">
        <f>F1266-E1266</f>
        <v/>
      </c>
      <c r="H1266" s="7" t="n">
        <v>16.3</v>
      </c>
      <c r="I1266" s="7">
        <f>G1266*H1266</f>
        <v/>
      </c>
      <c r="J1266" s="16" t="inlineStr">
        <is>
          <t>لم يُجرد</t>
        </is>
      </c>
      <c r="K1266" s="14" t="n">
        <v>0</v>
      </c>
      <c r="L1266" s="14" t="n">
        <v>3</v>
      </c>
      <c r="M1266" s="5" t="inlineStr"/>
      <c r="N1266" s="5" t="inlineStr"/>
    </row>
    <row r="1267">
      <c r="A1267" s="13" t="inlineStr">
        <is>
          <t>0004732</t>
        </is>
      </c>
      <c r="B1267" s="5" t="inlineStr">
        <is>
          <t>[0004732] SUPRAX 200MG 8S CAPS</t>
        </is>
      </c>
      <c r="C1267" s="5" t="inlineStr">
        <is>
          <t>دواء</t>
        </is>
      </c>
      <c r="D1267" s="13" t="inlineStr"/>
      <c r="E1267" s="14">
        <f>L1267-K1267</f>
        <v/>
      </c>
      <c r="F1267" s="14" t="n">
        <v>0</v>
      </c>
      <c r="G1267" s="14">
        <f>F1267-E1267</f>
        <v/>
      </c>
      <c r="H1267" s="7" t="n">
        <v>48.85</v>
      </c>
      <c r="I1267" s="7">
        <f>G1267*H1267</f>
        <v/>
      </c>
      <c r="J1267" s="16" t="inlineStr">
        <is>
          <t>لم يُجرد</t>
        </is>
      </c>
      <c r="K1267" s="14" t="n">
        <v>0</v>
      </c>
      <c r="L1267" s="14" t="n">
        <v>1</v>
      </c>
      <c r="M1267" s="5" t="inlineStr"/>
      <c r="N1267" s="5" t="inlineStr"/>
    </row>
    <row r="1268">
      <c r="A1268" s="13" t="inlineStr">
        <is>
          <t>0004831</t>
        </is>
      </c>
      <c r="B1268" s="5" t="inlineStr">
        <is>
          <t>[0004831] SORTIVA H 100/25 MG 30 TAB</t>
        </is>
      </c>
      <c r="C1268" s="5" t="inlineStr">
        <is>
          <t>دواء</t>
        </is>
      </c>
      <c r="D1268" s="13" t="inlineStr">
        <is>
          <t>06281086012147</t>
        </is>
      </c>
      <c r="E1268" s="14">
        <f>L1268-K1268</f>
        <v/>
      </c>
      <c r="F1268" s="14" t="n">
        <v>0</v>
      </c>
      <c r="G1268" s="14">
        <f>F1268-E1268</f>
        <v/>
      </c>
      <c r="H1268" s="7" t="n">
        <v>48.2</v>
      </c>
      <c r="I1268" s="7">
        <f>G1268*H1268</f>
        <v/>
      </c>
      <c r="J1268" s="16" t="inlineStr">
        <is>
          <t>لم يُجرد</t>
        </is>
      </c>
      <c r="K1268" s="14" t="n">
        <v>0</v>
      </c>
      <c r="L1268" s="14" t="n">
        <v>1</v>
      </c>
      <c r="M1268" s="5" t="inlineStr"/>
      <c r="N1268" s="5" t="inlineStr"/>
    </row>
    <row r="1269">
      <c r="A1269" s="13" t="inlineStr">
        <is>
          <t>00022790</t>
        </is>
      </c>
      <c r="B1269" s="5" t="inlineStr">
        <is>
          <t>[00022790] AVALON ACTIV EXTRA STRENGTH CREAM 50ML</t>
        </is>
      </c>
      <c r="C1269" s="5" t="inlineStr">
        <is>
          <t>دواء</t>
        </is>
      </c>
      <c r="D1269" s="13" t="inlineStr">
        <is>
          <t>06285095010538</t>
        </is>
      </c>
      <c r="E1269" s="14">
        <f>L1269-K1269</f>
        <v/>
      </c>
      <c r="F1269" s="14" t="n">
        <v>0</v>
      </c>
      <c r="G1269" s="14">
        <f>F1269-E1269</f>
        <v/>
      </c>
      <c r="H1269" s="7" t="n">
        <v>30</v>
      </c>
      <c r="I1269" s="7">
        <f>G1269*H1269</f>
        <v/>
      </c>
      <c r="J1269" s="16" t="inlineStr">
        <is>
          <t>لم يُجرد</t>
        </is>
      </c>
      <c r="K1269" s="14" t="n">
        <v>0</v>
      </c>
      <c r="L1269" s="14" t="n">
        <v>3</v>
      </c>
      <c r="M1269" s="5" t="inlineStr"/>
      <c r="N1269" s="5" t="inlineStr"/>
    </row>
    <row r="1270">
      <c r="A1270" s="13" t="inlineStr">
        <is>
          <t>0005008</t>
        </is>
      </c>
      <c r="B1270" s="5" t="inlineStr">
        <is>
          <t>[0005008] SCOPINAL SYRUP100ML</t>
        </is>
      </c>
      <c r="C1270" s="5" t="inlineStr">
        <is>
          <t>دواء</t>
        </is>
      </c>
      <c r="D1270" s="13" t="inlineStr">
        <is>
          <t>01062911000810801723</t>
        </is>
      </c>
      <c r="E1270" s="14">
        <f>L1270-K1270</f>
        <v/>
      </c>
      <c r="F1270" s="14" t="n">
        <v>0</v>
      </c>
      <c r="G1270" s="14">
        <f>F1270-E1270</f>
        <v/>
      </c>
      <c r="H1270" s="7" t="n">
        <v>10.8</v>
      </c>
      <c r="I1270" s="7">
        <f>G1270*H1270</f>
        <v/>
      </c>
      <c r="J1270" s="16" t="inlineStr">
        <is>
          <t>لم يُجرد</t>
        </is>
      </c>
      <c r="K1270" s="14" t="n">
        <v>0</v>
      </c>
      <c r="L1270" s="14" t="n">
        <v>5</v>
      </c>
      <c r="M1270" s="5" t="inlineStr"/>
      <c r="N1270" s="5" t="inlineStr"/>
    </row>
    <row r="1271">
      <c r="A1271" s="13" t="inlineStr">
        <is>
          <t>00029685</t>
        </is>
      </c>
      <c r="B1271" s="5" t="inlineStr">
        <is>
          <t>[00029685] MUSTELA PARFUME 50ML 4894</t>
        </is>
      </c>
      <c r="C1271" s="5" t="inlineStr">
        <is>
          <t>دواء</t>
        </is>
      </c>
      <c r="D1271" s="13" t="inlineStr">
        <is>
          <t>3504105034894</t>
        </is>
      </c>
      <c r="E1271" s="14">
        <f>L1271-K1271</f>
        <v/>
      </c>
      <c r="F1271" s="14" t="n">
        <v>0</v>
      </c>
      <c r="G1271" s="14">
        <f>F1271-E1271</f>
        <v/>
      </c>
      <c r="H1271" s="7" t="n">
        <v>62</v>
      </c>
      <c r="I1271" s="7">
        <f>G1271*H1271</f>
        <v/>
      </c>
      <c r="J1271" s="16" t="inlineStr">
        <is>
          <t>لم يُجرد</t>
        </is>
      </c>
      <c r="K1271" s="14" t="n">
        <v>0</v>
      </c>
      <c r="L1271" s="14" t="n">
        <v>1</v>
      </c>
      <c r="M1271" s="5" t="inlineStr"/>
      <c r="N1271" s="5" t="inlineStr"/>
    </row>
    <row r="1272">
      <c r="A1272" s="13" t="inlineStr">
        <is>
          <t>00016363</t>
        </is>
      </c>
      <c r="B1272" s="5" t="inlineStr">
        <is>
          <t>[00016363] AVALON CIPROGRAM 500MG 10TAB</t>
        </is>
      </c>
      <c r="C1272" s="5" t="inlineStr">
        <is>
          <t>دواء</t>
        </is>
      </c>
      <c r="D1272" s="13" t="inlineStr"/>
      <c r="E1272" s="14">
        <f>L1272-K1272</f>
        <v/>
      </c>
      <c r="F1272" s="14" t="n">
        <v>0</v>
      </c>
      <c r="G1272" s="14">
        <f>F1272-E1272</f>
        <v/>
      </c>
      <c r="H1272" s="7" t="n">
        <v>54.25</v>
      </c>
      <c r="I1272" s="7">
        <f>G1272*H1272</f>
        <v/>
      </c>
      <c r="J1272" s="16" t="inlineStr">
        <is>
          <t>لم يُجرد</t>
        </is>
      </c>
      <c r="K1272" s="14" t="n">
        <v>0</v>
      </c>
      <c r="L1272" s="14" t="n">
        <v>1</v>
      </c>
      <c r="M1272" s="5" t="inlineStr"/>
      <c r="N1272" s="5" t="inlineStr"/>
    </row>
    <row r="1273">
      <c r="A1273" s="13" t="inlineStr">
        <is>
          <t>0004433</t>
        </is>
      </c>
      <c r="B1273" s="5" t="inlineStr">
        <is>
          <t>[0004433] BETASERC 24 MG 50 TAB</t>
        </is>
      </c>
      <c r="C1273" s="5" t="inlineStr">
        <is>
          <t>دواء</t>
        </is>
      </c>
      <c r="D1273" s="13" t="inlineStr">
        <is>
          <t>01080026600162321719</t>
        </is>
      </c>
      <c r="E1273" s="14">
        <f>L1273-K1273</f>
        <v/>
      </c>
      <c r="F1273" s="14" t="n">
        <v>0</v>
      </c>
      <c r="G1273" s="14">
        <f>F1273-E1273</f>
        <v/>
      </c>
      <c r="H1273" s="7" t="n">
        <v>77.05</v>
      </c>
      <c r="I1273" s="7">
        <f>G1273*H1273</f>
        <v/>
      </c>
      <c r="J1273" s="16" t="inlineStr">
        <is>
          <t>لم يُجرد</t>
        </is>
      </c>
      <c r="K1273" s="14" t="n">
        <v>0</v>
      </c>
      <c r="L1273" s="14" t="n">
        <v>0.6</v>
      </c>
      <c r="M1273" s="5" t="inlineStr"/>
      <c r="N1273" s="5" t="inlineStr"/>
    </row>
    <row r="1274">
      <c r="A1274" s="13" t="inlineStr">
        <is>
          <t>0005543</t>
        </is>
      </c>
      <c r="B1274" s="5" t="inlineStr">
        <is>
          <t>[0005543] NEGAZOL 500MG 20TAB</t>
        </is>
      </c>
      <c r="C1274" s="5" t="inlineStr">
        <is>
          <t>دواء</t>
        </is>
      </c>
      <c r="D1274" s="13" t="inlineStr">
        <is>
          <t>06291100082117</t>
        </is>
      </c>
      <c r="E1274" s="14">
        <f>L1274-K1274</f>
        <v/>
      </c>
      <c r="F1274" s="14" t="n">
        <v>0</v>
      </c>
      <c r="G1274" s="14">
        <f>F1274-E1274</f>
        <v/>
      </c>
      <c r="H1274" s="7" t="n">
        <v>12.05</v>
      </c>
      <c r="I1274" s="7">
        <f>G1274*H1274</f>
        <v/>
      </c>
      <c r="J1274" s="16" t="inlineStr">
        <is>
          <t>لم يُجرد</t>
        </is>
      </c>
      <c r="K1274" s="14" t="n">
        <v>0</v>
      </c>
      <c r="L1274" s="14" t="n">
        <v>4</v>
      </c>
      <c r="M1274" s="5" t="inlineStr"/>
      <c r="N1274" s="5" t="inlineStr"/>
    </row>
    <row r="1275">
      <c r="A1275" s="13" t="inlineStr">
        <is>
          <t>0005448</t>
        </is>
      </c>
      <c r="B1275" s="5" t="inlineStr">
        <is>
          <t>[0005448] NORMOTEN 100MG 28TAB</t>
        </is>
      </c>
      <c r="C1275" s="5" t="inlineStr">
        <is>
          <t>دواء</t>
        </is>
      </c>
      <c r="D1275" s="13" t="inlineStr">
        <is>
          <t>01062851010000891076</t>
        </is>
      </c>
      <c r="E1275" s="14">
        <f>L1275-K1275</f>
        <v/>
      </c>
      <c r="F1275" s="14" t="n">
        <v>0</v>
      </c>
      <c r="G1275" s="14">
        <f>F1275-E1275</f>
        <v/>
      </c>
      <c r="H1275" s="7" t="n">
        <v>19.25</v>
      </c>
      <c r="I1275" s="7">
        <f>G1275*H1275</f>
        <v/>
      </c>
      <c r="J1275" s="16" t="inlineStr">
        <is>
          <t>لم يُجرد</t>
        </is>
      </c>
      <c r="K1275" s="14" t="n">
        <v>0</v>
      </c>
      <c r="L1275" s="14" t="n">
        <v>2.5</v>
      </c>
      <c r="M1275" s="5" t="inlineStr"/>
      <c r="N1275" s="5" t="inlineStr"/>
    </row>
    <row r="1276">
      <c r="A1276" s="13" t="inlineStr">
        <is>
          <t>0003302</t>
        </is>
      </c>
      <c r="B1276" s="5" t="inlineStr">
        <is>
          <t>[0003302] JULMENTIN 457 MG SUSPENSION</t>
        </is>
      </c>
      <c r="C1276" s="5" t="inlineStr">
        <is>
          <t>دواء</t>
        </is>
      </c>
      <c r="D1276" s="13" t="inlineStr">
        <is>
          <t>06291100081721</t>
        </is>
      </c>
      <c r="E1276" s="14">
        <f>L1276-K1276</f>
        <v/>
      </c>
      <c r="F1276" s="14" t="n">
        <v>0</v>
      </c>
      <c r="G1276" s="14">
        <f>F1276-E1276</f>
        <v/>
      </c>
      <c r="H1276" s="7" t="n">
        <v>24</v>
      </c>
      <c r="I1276" s="7">
        <f>G1276*H1276</f>
        <v/>
      </c>
      <c r="J1276" s="16" t="inlineStr">
        <is>
          <t>لم يُجرد</t>
        </is>
      </c>
      <c r="K1276" s="14" t="n">
        <v>0</v>
      </c>
      <c r="L1276" s="14" t="n">
        <v>2</v>
      </c>
      <c r="M1276" s="5" t="inlineStr"/>
      <c r="N1276" s="5" t="inlineStr"/>
    </row>
    <row r="1277">
      <c r="A1277" s="13" t="inlineStr">
        <is>
          <t>0004579</t>
        </is>
      </c>
      <c r="B1277" s="5" t="inlineStr">
        <is>
          <t>[0004579] XEFO 8 MG 20 TAB</t>
        </is>
      </c>
      <c r="C1277" s="5" t="inlineStr">
        <is>
          <t>دواء</t>
        </is>
      </c>
      <c r="D1277" s="13" t="inlineStr"/>
      <c r="E1277" s="14">
        <f>L1277-K1277</f>
        <v/>
      </c>
      <c r="F1277" s="14" t="n">
        <v>0</v>
      </c>
      <c r="G1277" s="14">
        <f>F1277-E1277</f>
        <v/>
      </c>
      <c r="H1277" s="7" t="n">
        <v>23.95</v>
      </c>
      <c r="I1277" s="7">
        <f>G1277*H1277</f>
        <v/>
      </c>
      <c r="J1277" s="16" t="inlineStr">
        <is>
          <t>لم يُجرد</t>
        </is>
      </c>
      <c r="K1277" s="14" t="n">
        <v>0</v>
      </c>
      <c r="L1277" s="14" t="n">
        <v>2</v>
      </c>
      <c r="M1277" s="5" t="inlineStr"/>
      <c r="N1277" s="5" t="inlineStr"/>
    </row>
    <row r="1278">
      <c r="A1278" s="13" t="inlineStr">
        <is>
          <t>00019590</t>
        </is>
      </c>
      <c r="B1278" s="5" t="inlineStr">
        <is>
          <t>[00019590] NEVANAC EYE DROPS 5 ML</t>
        </is>
      </c>
      <c r="C1278" s="5" t="inlineStr">
        <is>
          <t>دواء</t>
        </is>
      </c>
      <c r="D1278" s="13" t="inlineStr"/>
      <c r="E1278" s="14">
        <f>L1278-K1278</f>
        <v/>
      </c>
      <c r="F1278" s="14" t="n">
        <v>0</v>
      </c>
      <c r="G1278" s="14">
        <f>F1278-E1278</f>
        <v/>
      </c>
      <c r="H1278" s="7" t="n">
        <v>23.9</v>
      </c>
      <c r="I1278" s="7">
        <f>G1278*H1278</f>
        <v/>
      </c>
      <c r="J1278" s="16" t="inlineStr">
        <is>
          <t>لم يُجرد</t>
        </is>
      </c>
      <c r="K1278" s="14" t="n">
        <v>0</v>
      </c>
      <c r="L1278" s="14" t="n">
        <v>2</v>
      </c>
      <c r="M1278" s="5" t="inlineStr"/>
      <c r="N1278" s="5" t="inlineStr"/>
    </row>
    <row r="1279">
      <c r="A1279" s="13" t="inlineStr">
        <is>
          <t>00045153</t>
        </is>
      </c>
      <c r="B1279" s="5" t="inlineStr">
        <is>
          <t>[00045153] WHITE SOFT PARAFFIN 30 GRAM 2957</t>
        </is>
      </c>
      <c r="C1279" s="5" t="inlineStr">
        <is>
          <t>دواء</t>
        </is>
      </c>
      <c r="D1279" s="13" t="inlineStr">
        <is>
          <t>6288030002957</t>
        </is>
      </c>
      <c r="E1279" s="14">
        <f>L1279-K1279</f>
        <v/>
      </c>
      <c r="F1279" s="14" t="n">
        <v>0</v>
      </c>
      <c r="G1279" s="14">
        <f>F1279-E1279</f>
        <v/>
      </c>
      <c r="H1279" s="7" t="n">
        <v>11</v>
      </c>
      <c r="I1279" s="7">
        <f>G1279*H1279</f>
        <v/>
      </c>
      <c r="J1279" s="16" t="inlineStr">
        <is>
          <t>لم يُجرد</t>
        </is>
      </c>
      <c r="K1279" s="14" t="n">
        <v>0</v>
      </c>
      <c r="L1279" s="14" t="n">
        <v>6</v>
      </c>
      <c r="M1279" s="5" t="inlineStr"/>
      <c r="N1279" s="5" t="inlineStr"/>
    </row>
    <row r="1280">
      <c r="A1280" s="13" t="inlineStr">
        <is>
          <t>00040868</t>
        </is>
      </c>
      <c r="B1280" s="5" t="inlineStr">
        <is>
          <t>[00040868] PERUZEN 9589 PLUS MASSGE EMULGEL 100ML</t>
        </is>
      </c>
      <c r="C1280" s="5" t="inlineStr">
        <is>
          <t>دواء</t>
        </is>
      </c>
      <c r="D1280" s="13" t="inlineStr">
        <is>
          <t>6287002339589</t>
        </is>
      </c>
      <c r="E1280" s="14">
        <f>L1280-K1280</f>
        <v/>
      </c>
      <c r="F1280" s="14" t="n">
        <v>0</v>
      </c>
      <c r="G1280" s="14">
        <f>F1280-E1280</f>
        <v/>
      </c>
      <c r="H1280" s="7" t="n">
        <v>56.52</v>
      </c>
      <c r="I1280" s="7">
        <f>G1280*H1280</f>
        <v/>
      </c>
      <c r="J1280" s="16" t="inlineStr">
        <is>
          <t>لم يُجرد</t>
        </is>
      </c>
      <c r="K1280" s="14" t="n">
        <v>0</v>
      </c>
      <c r="L1280" s="14" t="n">
        <v>1</v>
      </c>
      <c r="M1280" s="5" t="inlineStr"/>
      <c r="N1280" s="5" t="inlineStr"/>
    </row>
    <row r="1281">
      <c r="A1281" s="13" t="inlineStr">
        <is>
          <t>0003996</t>
        </is>
      </c>
      <c r="B1281" s="5" t="inlineStr">
        <is>
          <t>[0003996] DIZINIL 50MG 20TAB</t>
        </is>
      </c>
      <c r="C1281" s="5" t="inlineStr">
        <is>
          <t>دواء</t>
        </is>
      </c>
      <c r="D1281" s="13" t="inlineStr">
        <is>
          <t>01062911000863061719</t>
        </is>
      </c>
      <c r="E1281" s="14">
        <f>L1281-K1281</f>
        <v/>
      </c>
      <c r="F1281" s="14" t="n">
        <v>0</v>
      </c>
      <c r="G1281" s="14">
        <f>F1281-E1281</f>
        <v/>
      </c>
      <c r="H1281" s="7" t="n">
        <v>9.4</v>
      </c>
      <c r="I1281" s="7">
        <f>G1281*H1281</f>
        <v/>
      </c>
      <c r="J1281" s="16" t="inlineStr">
        <is>
          <t>لم يُجرد</t>
        </is>
      </c>
      <c r="K1281" s="14" t="n">
        <v>0</v>
      </c>
      <c r="L1281" s="14" t="n">
        <v>5</v>
      </c>
      <c r="M1281" s="5" t="inlineStr"/>
      <c r="N1281" s="5" t="inlineStr"/>
    </row>
    <row r="1282">
      <c r="A1282" s="13" t="inlineStr">
        <is>
          <t>0005814</t>
        </is>
      </c>
      <c r="B1282" s="5" t="inlineStr">
        <is>
          <t>[0005814] LORVAST 40MG 30TAB</t>
        </is>
      </c>
      <c r="C1282" s="5" t="inlineStr">
        <is>
          <t>دواء</t>
        </is>
      </c>
      <c r="D1282" s="13" t="inlineStr">
        <is>
          <t>6281102230654</t>
        </is>
      </c>
      <c r="E1282" s="14">
        <f>L1282-K1282</f>
        <v/>
      </c>
      <c r="F1282" s="14" t="n">
        <v>0</v>
      </c>
      <c r="G1282" s="14">
        <f>F1282-E1282</f>
        <v/>
      </c>
      <c r="H1282" s="7" t="n">
        <v>86.90000000000001</v>
      </c>
      <c r="I1282" s="7">
        <f>G1282*H1282</f>
        <v/>
      </c>
      <c r="J1282" s="16" t="inlineStr">
        <is>
          <t>لم يُجرد</t>
        </is>
      </c>
      <c r="K1282" s="14" t="n">
        <v>0</v>
      </c>
      <c r="L1282" s="14" t="n">
        <v>1</v>
      </c>
      <c r="M1282" s="5" t="inlineStr"/>
      <c r="N1282" s="5" t="inlineStr"/>
    </row>
    <row r="1283">
      <c r="A1283" s="13" t="inlineStr">
        <is>
          <t>0003544</t>
        </is>
      </c>
      <c r="B1283" s="5" t="inlineStr">
        <is>
          <t>[0003544] GLUCOVANCE 500/5MG 30TAB</t>
        </is>
      </c>
      <c r="C1283" s="5" t="inlineStr">
        <is>
          <t>دواء</t>
        </is>
      </c>
      <c r="D1283" s="13" t="inlineStr">
        <is>
          <t>04065271168640</t>
        </is>
      </c>
      <c r="E1283" s="14">
        <f>L1283-K1283</f>
        <v/>
      </c>
      <c r="F1283" s="14" t="n">
        <v>0</v>
      </c>
      <c r="G1283" s="14">
        <f>F1283-E1283</f>
        <v/>
      </c>
      <c r="H1283" s="7" t="n">
        <v>23.45</v>
      </c>
      <c r="I1283" s="7">
        <f>G1283*H1283</f>
        <v/>
      </c>
      <c r="J1283" s="16" t="inlineStr">
        <is>
          <t>لم يُجرد</t>
        </is>
      </c>
      <c r="K1283" s="14" t="n">
        <v>0</v>
      </c>
      <c r="L1283" s="14" t="n">
        <v>2</v>
      </c>
      <c r="M1283" s="5" t="inlineStr"/>
      <c r="N1283" s="5" t="inlineStr"/>
    </row>
    <row r="1284">
      <c r="A1284" s="13" t="inlineStr">
        <is>
          <t>0005594</t>
        </is>
      </c>
      <c r="B1284" s="5" t="inlineStr">
        <is>
          <t>[0005594] AVALON SALINOSE BLUE 0096 NASAL SPRAY 30ML</t>
        </is>
      </c>
      <c r="C1284" s="5" t="inlineStr">
        <is>
          <t>دواء</t>
        </is>
      </c>
      <c r="D1284" s="13" t="inlineStr">
        <is>
          <t>0106285095000096</t>
        </is>
      </c>
      <c r="E1284" s="14">
        <f>L1284-K1284</f>
        <v/>
      </c>
      <c r="F1284" s="14" t="n">
        <v>0</v>
      </c>
      <c r="G1284" s="14">
        <f>F1284-E1284</f>
        <v/>
      </c>
      <c r="H1284" s="7" t="n">
        <v>40</v>
      </c>
      <c r="I1284" s="7">
        <f>G1284*H1284</f>
        <v/>
      </c>
      <c r="J1284" s="16" t="inlineStr">
        <is>
          <t>لم يُجرد</t>
        </is>
      </c>
      <c r="K1284" s="14" t="n">
        <v>0</v>
      </c>
      <c r="L1284" s="14" t="n">
        <v>3</v>
      </c>
      <c r="M1284" s="5" t="inlineStr"/>
      <c r="N1284" s="5" t="inlineStr"/>
    </row>
    <row r="1285">
      <c r="A1285" s="13" t="inlineStr">
        <is>
          <t>0004437</t>
        </is>
      </c>
      <c r="B1285" s="5" t="inlineStr">
        <is>
          <t>[0004437] BILAXTEN 20MG 20TAB</t>
        </is>
      </c>
      <c r="C1285" s="5" t="inlineStr">
        <is>
          <t>دواء</t>
        </is>
      </c>
      <c r="D1285" s="13" t="inlineStr">
        <is>
          <t>01062851010014991077</t>
        </is>
      </c>
      <c r="E1285" s="14">
        <f>L1285-K1285</f>
        <v/>
      </c>
      <c r="F1285" s="14" t="n">
        <v>0</v>
      </c>
      <c r="G1285" s="14">
        <f>F1285-E1285</f>
        <v/>
      </c>
      <c r="H1285" s="7" t="n">
        <v>22.3</v>
      </c>
      <c r="I1285" s="7">
        <f>G1285*H1285</f>
        <v/>
      </c>
      <c r="J1285" s="16" t="inlineStr">
        <is>
          <t>لم يُجرد</t>
        </is>
      </c>
      <c r="K1285" s="14" t="n">
        <v>0</v>
      </c>
      <c r="L1285" s="14" t="n">
        <v>2</v>
      </c>
      <c r="M1285" s="5" t="inlineStr"/>
      <c r="N1285" s="5" t="inlineStr"/>
    </row>
    <row r="1286">
      <c r="A1286" s="13" t="inlineStr">
        <is>
          <t>0003234</t>
        </is>
      </c>
      <c r="B1286" s="5" t="inlineStr">
        <is>
          <t>[0003234] TABUVAN 80 MG TABLET WASFA</t>
        </is>
      </c>
      <c r="C1286" s="5" t="inlineStr">
        <is>
          <t>دواء</t>
        </is>
      </c>
      <c r="D1286" s="13" t="inlineStr">
        <is>
          <t>6281102232696</t>
        </is>
      </c>
      <c r="E1286" s="14">
        <f>L1286-K1286</f>
        <v/>
      </c>
      <c r="F1286" s="14" t="n">
        <v>0</v>
      </c>
      <c r="G1286" s="14">
        <f>F1286-E1286</f>
        <v/>
      </c>
      <c r="H1286" s="7" t="n">
        <v>32.95</v>
      </c>
      <c r="I1286" s="7">
        <f>G1286*H1286</f>
        <v/>
      </c>
      <c r="J1286" s="16" t="inlineStr">
        <is>
          <t>لم يُجرد</t>
        </is>
      </c>
      <c r="K1286" s="14" t="n">
        <v>0</v>
      </c>
      <c r="L1286" s="14" t="n">
        <v>2</v>
      </c>
      <c r="M1286" s="5" t="inlineStr"/>
      <c r="N1286" s="5" t="inlineStr"/>
    </row>
    <row r="1287">
      <c r="A1287" s="13" t="inlineStr">
        <is>
          <t>0003539</t>
        </is>
      </c>
      <c r="B1287" s="5" t="inlineStr">
        <is>
          <t>[0003539] GLUCOPHAGE 850MG 30 TAB</t>
        </is>
      </c>
      <c r="C1287" s="5" t="inlineStr">
        <is>
          <t>دواء</t>
        </is>
      </c>
      <c r="D1287" s="13" t="inlineStr">
        <is>
          <t>04054839506284</t>
        </is>
      </c>
      <c r="E1287" s="14">
        <f>L1287-K1287</f>
        <v/>
      </c>
      <c r="F1287" s="14" t="n">
        <v>0</v>
      </c>
      <c r="G1287" s="14">
        <f>F1287-E1287</f>
        <v/>
      </c>
      <c r="H1287" s="7" t="n">
        <v>15.4</v>
      </c>
      <c r="I1287" s="7">
        <f>G1287*H1287</f>
        <v/>
      </c>
      <c r="J1287" s="16" t="inlineStr">
        <is>
          <t>لم يُجرد</t>
        </is>
      </c>
      <c r="K1287" s="14" t="n">
        <v>0</v>
      </c>
      <c r="L1287" s="14" t="n">
        <v>3</v>
      </c>
      <c r="M1287" s="5" t="inlineStr"/>
      <c r="N1287" s="5" t="inlineStr"/>
    </row>
    <row r="1288">
      <c r="A1288" s="13" t="inlineStr">
        <is>
          <t>0004949</t>
        </is>
      </c>
      <c r="B1288" s="5" t="inlineStr">
        <is>
          <t>[0004949] ماء ورد بخاخ 120مل 80248</t>
        </is>
      </c>
      <c r="C1288" s="5" t="inlineStr">
        <is>
          <t>دواء</t>
        </is>
      </c>
      <c r="D1288" s="13" t="inlineStr">
        <is>
          <t>06287002980248</t>
        </is>
      </c>
      <c r="E1288" s="14">
        <f>L1288-K1288</f>
        <v/>
      </c>
      <c r="F1288" s="14" t="n">
        <v>0</v>
      </c>
      <c r="G1288" s="14">
        <f>F1288-E1288</f>
        <v/>
      </c>
      <c r="H1288" s="7" t="n">
        <v>6</v>
      </c>
      <c r="I1288" s="7">
        <f>G1288*H1288</f>
        <v/>
      </c>
      <c r="J1288" s="16" t="inlineStr">
        <is>
          <t>لم يُجرد</t>
        </is>
      </c>
      <c r="K1288" s="14" t="n">
        <v>0</v>
      </c>
      <c r="L1288" s="14" t="n">
        <v>11</v>
      </c>
      <c r="M1288" s="5" t="inlineStr"/>
      <c r="N1288" s="5" t="inlineStr"/>
    </row>
    <row r="1289">
      <c r="A1289" s="13" t="inlineStr">
        <is>
          <t>0003907</t>
        </is>
      </c>
      <c r="B1289" s="5" t="inlineStr">
        <is>
          <t>[0003907] DEEP HEAT RUB 100GM</t>
        </is>
      </c>
      <c r="C1289" s="5" t="inlineStr">
        <is>
          <t>دواء</t>
        </is>
      </c>
      <c r="D1289" s="13" t="inlineStr">
        <is>
          <t>5011501040117</t>
        </is>
      </c>
      <c r="E1289" s="14">
        <f>L1289-K1289</f>
        <v/>
      </c>
      <c r="F1289" s="14" t="n">
        <v>0</v>
      </c>
      <c r="G1289" s="14">
        <f>F1289-E1289</f>
        <v/>
      </c>
      <c r="H1289" s="7" t="n">
        <v>45.98</v>
      </c>
      <c r="I1289" s="7">
        <f>G1289*H1289</f>
        <v/>
      </c>
      <c r="J1289" s="16" t="inlineStr">
        <is>
          <t>لم يُجرد</t>
        </is>
      </c>
      <c r="K1289" s="14" t="n">
        <v>0</v>
      </c>
      <c r="L1289" s="14" t="n">
        <v>1</v>
      </c>
      <c r="M1289" s="5" t="inlineStr"/>
      <c r="N1289" s="5" t="inlineStr"/>
    </row>
    <row r="1290">
      <c r="A1290" s="13" t="inlineStr">
        <is>
          <t>00027706</t>
        </is>
      </c>
      <c r="B1290" s="5" t="inlineStr">
        <is>
          <t>[00027706] NOORATINEX 60 CAP</t>
        </is>
      </c>
      <c r="C1290" s="5" t="inlineStr">
        <is>
          <t>دواء</t>
        </is>
      </c>
      <c r="D1290" s="13" t="inlineStr">
        <is>
          <t>0795044248258</t>
        </is>
      </c>
      <c r="E1290" s="14">
        <f>L1290-K1290</f>
        <v/>
      </c>
      <c r="F1290" s="14" t="n">
        <v>0</v>
      </c>
      <c r="G1290" s="14">
        <f>F1290-E1290</f>
        <v/>
      </c>
      <c r="H1290" s="7" t="n">
        <v>89</v>
      </c>
      <c r="I1290" s="7">
        <f>G1290*H1290</f>
        <v/>
      </c>
      <c r="J1290" s="16" t="inlineStr">
        <is>
          <t>لم يُجرد</t>
        </is>
      </c>
      <c r="K1290" s="14" t="n">
        <v>0</v>
      </c>
      <c r="L1290" s="14" t="n">
        <v>1</v>
      </c>
      <c r="M1290" s="5" t="inlineStr"/>
      <c r="N1290" s="5" t="inlineStr"/>
    </row>
    <row r="1291">
      <c r="A1291" s="13" t="inlineStr">
        <is>
          <t>00029889</t>
        </is>
      </c>
      <c r="B1291" s="5" t="inlineStr">
        <is>
          <t>[00029889] HERBION COWSLIP 150ML SYP</t>
        </is>
      </c>
      <c r="C1291" s="5" t="inlineStr">
        <is>
          <t>دواء</t>
        </is>
      </c>
      <c r="D1291" s="13" t="inlineStr">
        <is>
          <t>3838989701666</t>
        </is>
      </c>
      <c r="E1291" s="14">
        <f>L1291-K1291</f>
        <v/>
      </c>
      <c r="F1291" s="14" t="n">
        <v>0</v>
      </c>
      <c r="G1291" s="14">
        <f>F1291-E1291</f>
        <v/>
      </c>
      <c r="H1291" s="7" t="n">
        <v>49</v>
      </c>
      <c r="I1291" s="7">
        <f>G1291*H1291</f>
        <v/>
      </c>
      <c r="J1291" s="16" t="inlineStr">
        <is>
          <t>لم يُجرد</t>
        </is>
      </c>
      <c r="K1291" s="14" t="n">
        <v>0</v>
      </c>
      <c r="L1291" s="14" t="n">
        <v>2</v>
      </c>
      <c r="M1291" s="5" t="inlineStr"/>
      <c r="N1291" s="5" t="inlineStr"/>
    </row>
    <row r="1292">
      <c r="A1292" s="13" t="inlineStr">
        <is>
          <t>0003737</t>
        </is>
      </c>
      <c r="B1292" s="5" t="inlineStr">
        <is>
          <t>[0003737] GAVISCON 500MG EXTRA STRINGTH TAB</t>
        </is>
      </c>
      <c r="C1292" s="5" t="inlineStr">
        <is>
          <t>دواء</t>
        </is>
      </c>
      <c r="D1292" s="13" t="inlineStr"/>
      <c r="E1292" s="14">
        <f>L1292-K1292</f>
        <v/>
      </c>
      <c r="F1292" s="14" t="n">
        <v>0</v>
      </c>
      <c r="G1292" s="14">
        <f>F1292-E1292</f>
        <v/>
      </c>
      <c r="H1292" s="7" t="n">
        <v>11.8</v>
      </c>
      <c r="I1292" s="7">
        <f>G1292*H1292</f>
        <v/>
      </c>
      <c r="J1292" s="16" t="inlineStr">
        <is>
          <t>لم يُجرد</t>
        </is>
      </c>
      <c r="K1292" s="14" t="n">
        <v>0</v>
      </c>
      <c r="L1292" s="14" t="n">
        <v>4</v>
      </c>
      <c r="M1292" s="5" t="inlineStr"/>
      <c r="N1292" s="5" t="inlineStr"/>
    </row>
    <row r="1293">
      <c r="A1293" s="13" t="inlineStr">
        <is>
          <t>0009856</t>
        </is>
      </c>
      <c r="B1293" s="5" t="inlineStr">
        <is>
          <t>[0009856] ASTROGLIDE 73.9ML 0090 0063</t>
        </is>
      </c>
      <c r="C1293" s="5" t="inlineStr">
        <is>
          <t>دواء</t>
        </is>
      </c>
      <c r="D1293" s="13" t="inlineStr">
        <is>
          <t>015594010090</t>
        </is>
      </c>
      <c r="E1293" s="14">
        <f>L1293-K1293</f>
        <v/>
      </c>
      <c r="F1293" s="14" t="n">
        <v>0</v>
      </c>
      <c r="G1293" s="14">
        <f>F1293-E1293</f>
        <v/>
      </c>
      <c r="H1293" s="7" t="n">
        <v>35.9</v>
      </c>
      <c r="I1293" s="7">
        <f>G1293*H1293</f>
        <v/>
      </c>
      <c r="J1293" s="16" t="inlineStr">
        <is>
          <t>لم يُجرد</t>
        </is>
      </c>
      <c r="K1293" s="14" t="n">
        <v>0</v>
      </c>
      <c r="L1293" s="14" t="n">
        <v>2</v>
      </c>
      <c r="M1293" s="5" t="inlineStr"/>
      <c r="N1293" s="5" t="inlineStr"/>
    </row>
    <row r="1294">
      <c r="A1294" s="13" t="inlineStr">
        <is>
          <t>0003740</t>
        </is>
      </c>
      <c r="B1294" s="5" t="inlineStr">
        <is>
          <t>[0003740] GAVISCON ANISED LIQUID 200ML</t>
        </is>
      </c>
      <c r="C1294" s="5" t="inlineStr">
        <is>
          <t>دواء</t>
        </is>
      </c>
      <c r="D1294" s="13" t="inlineStr"/>
      <c r="E1294" s="14">
        <f>L1294-K1294</f>
        <v/>
      </c>
      <c r="F1294" s="14" t="n">
        <v>0</v>
      </c>
      <c r="G1294" s="14">
        <f>F1294-E1294</f>
        <v/>
      </c>
      <c r="H1294" s="7" t="n">
        <v>15.2</v>
      </c>
      <c r="I1294" s="7">
        <f>G1294*H1294</f>
        <v/>
      </c>
      <c r="J1294" s="16" t="inlineStr">
        <is>
          <t>لم يُجرد</t>
        </is>
      </c>
      <c r="K1294" s="14" t="n">
        <v>0</v>
      </c>
      <c r="L1294" s="14" t="n">
        <v>3</v>
      </c>
      <c r="M1294" s="5" t="inlineStr"/>
      <c r="N1294" s="5" t="inlineStr"/>
    </row>
    <row r="1295">
      <c r="A1295" s="13" t="inlineStr">
        <is>
          <t>0004712</t>
        </is>
      </c>
      <c r="B1295" s="5" t="inlineStr">
        <is>
          <t>[0004712] TYLENOL 200 MG SUPP 10</t>
        </is>
      </c>
      <c r="C1295" s="5" t="inlineStr">
        <is>
          <t>دواء</t>
        </is>
      </c>
      <c r="D1295" s="13" t="inlineStr"/>
      <c r="E1295" s="14">
        <f>L1295-K1295</f>
        <v/>
      </c>
      <c r="F1295" s="14" t="n">
        <v>0</v>
      </c>
      <c r="G1295" s="14">
        <f>F1295-E1295</f>
        <v/>
      </c>
      <c r="H1295" s="7" t="n">
        <v>11.4</v>
      </c>
      <c r="I1295" s="7">
        <f>G1295*H1295</f>
        <v/>
      </c>
      <c r="J1295" s="16" t="inlineStr">
        <is>
          <t>لم يُجرد</t>
        </is>
      </c>
      <c r="K1295" s="14" t="n">
        <v>0</v>
      </c>
      <c r="L1295" s="14" t="n">
        <v>4</v>
      </c>
      <c r="M1295" s="5" t="inlineStr"/>
      <c r="N1295" s="5" t="inlineStr"/>
    </row>
    <row r="1296">
      <c r="A1296" s="13" t="inlineStr">
        <is>
          <t>0003635</t>
        </is>
      </c>
      <c r="B1296" s="5" t="inlineStr">
        <is>
          <t>[0003635] FEXOTEL 120MG TAB 14S</t>
        </is>
      </c>
      <c r="C1296" s="5" t="inlineStr">
        <is>
          <t>دواء</t>
        </is>
      </c>
      <c r="D1296" s="13" t="inlineStr">
        <is>
          <t>0106285104000055214D</t>
        </is>
      </c>
      <c r="E1296" s="14">
        <f>L1296-K1296</f>
        <v/>
      </c>
      <c r="F1296" s="14" t="n">
        <v>0</v>
      </c>
      <c r="G1296" s="14">
        <f>F1296-E1296</f>
        <v/>
      </c>
      <c r="H1296" s="7" t="n">
        <v>15.15</v>
      </c>
      <c r="I1296" s="7">
        <f>G1296*H1296</f>
        <v/>
      </c>
      <c r="J1296" s="16" t="inlineStr">
        <is>
          <t>لم يُجرد</t>
        </is>
      </c>
      <c r="K1296" s="14" t="n">
        <v>0</v>
      </c>
      <c r="L1296" s="14" t="n">
        <v>3</v>
      </c>
      <c r="M1296" s="5" t="inlineStr"/>
      <c r="N1296" s="5" t="inlineStr"/>
    </row>
    <row r="1297">
      <c r="A1297" s="13" t="inlineStr">
        <is>
          <t>0004794</t>
        </is>
      </c>
      <c r="B1297" s="5" t="inlineStr">
        <is>
          <t>[0004794] TOBRACIN EYE DROPS</t>
        </is>
      </c>
      <c r="C1297" s="5" t="inlineStr">
        <is>
          <t>دواء</t>
        </is>
      </c>
      <c r="D1297" s="13" t="inlineStr"/>
      <c r="E1297" s="14">
        <f>L1297-K1297</f>
        <v/>
      </c>
      <c r="F1297" s="14" t="n">
        <v>0</v>
      </c>
      <c r="G1297" s="14">
        <f>F1297-E1297</f>
        <v/>
      </c>
      <c r="H1297" s="7" t="n">
        <v>11.35</v>
      </c>
      <c r="I1297" s="7">
        <f>G1297*H1297</f>
        <v/>
      </c>
      <c r="J1297" s="16" t="inlineStr">
        <is>
          <t>لم يُجرد</t>
        </is>
      </c>
      <c r="K1297" s="14" t="n">
        <v>0</v>
      </c>
      <c r="L1297" s="14" t="n">
        <v>4</v>
      </c>
      <c r="M1297" s="5" t="inlineStr"/>
      <c r="N1297" s="5" t="inlineStr"/>
    </row>
    <row r="1298">
      <c r="A1298" s="13" t="inlineStr">
        <is>
          <t>0004824</t>
        </is>
      </c>
      <c r="B1298" s="5" t="inlineStr">
        <is>
          <t>[0004824] SORTIVA 50 MG 30 TAB</t>
        </is>
      </c>
      <c r="C1298" s="5" t="inlineStr">
        <is>
          <t>دواء</t>
        </is>
      </c>
      <c r="D1298" s="13" t="inlineStr">
        <is>
          <t>06281086012031</t>
        </is>
      </c>
      <c r="E1298" s="14">
        <f>L1298-K1298</f>
        <v/>
      </c>
      <c r="F1298" s="14" t="n">
        <v>0</v>
      </c>
      <c r="G1298" s="14">
        <f>F1298-E1298</f>
        <v/>
      </c>
      <c r="H1298" s="7" t="n">
        <v>45.35</v>
      </c>
      <c r="I1298" s="7">
        <f>G1298*H1298</f>
        <v/>
      </c>
      <c r="J1298" s="16" t="inlineStr">
        <is>
          <t>لم يُجرد</t>
        </is>
      </c>
      <c r="K1298" s="14" t="n">
        <v>0</v>
      </c>
      <c r="L1298" s="14" t="n">
        <v>1</v>
      </c>
      <c r="M1298" s="5" t="inlineStr"/>
      <c r="N1298" s="5" t="inlineStr"/>
    </row>
    <row r="1299">
      <c r="A1299" s="13" t="inlineStr">
        <is>
          <t>00026213</t>
        </is>
      </c>
      <c r="B1299" s="5" t="inlineStr">
        <is>
          <t>[00026213] VITTORIA 5/160 28 TAB</t>
        </is>
      </c>
      <c r="C1299" s="5" t="inlineStr">
        <is>
          <t>دواء</t>
        </is>
      </c>
      <c r="D1299" s="13" t="inlineStr"/>
      <c r="E1299" s="14">
        <f>L1299-K1299</f>
        <v/>
      </c>
      <c r="F1299" s="14" t="n">
        <v>0</v>
      </c>
      <c r="G1299" s="14">
        <f>F1299-E1299</f>
        <v/>
      </c>
      <c r="H1299" s="7" t="n">
        <v>56.85</v>
      </c>
      <c r="I1299" s="7">
        <f>G1299*H1299</f>
        <v/>
      </c>
      <c r="J1299" s="16" t="inlineStr">
        <is>
          <t>لم يُجرد</t>
        </is>
      </c>
      <c r="K1299" s="14" t="n">
        <v>0</v>
      </c>
      <c r="L1299" s="14" t="n">
        <v>1</v>
      </c>
      <c r="M1299" s="5" t="inlineStr"/>
      <c r="N1299" s="5" t="inlineStr"/>
    </row>
    <row r="1300">
      <c r="A1300" s="13" t="inlineStr">
        <is>
          <t>0005656</t>
        </is>
      </c>
      <c r="B1300" s="5" t="inlineStr">
        <is>
          <t>[0005656] MAXITROL EYE OINTMENT 35 GM</t>
        </is>
      </c>
      <c r="C1300" s="5" t="inlineStr">
        <is>
          <t>دواء</t>
        </is>
      </c>
      <c r="D1300" s="13" t="inlineStr">
        <is>
          <t>01054138950307031721</t>
        </is>
      </c>
      <c r="E1300" s="14">
        <f>L1300-K1300</f>
        <v/>
      </c>
      <c r="F1300" s="14" t="n">
        <v>0</v>
      </c>
      <c r="G1300" s="14">
        <f>F1300-E1300</f>
        <v/>
      </c>
      <c r="H1300" s="7" t="n">
        <v>11.3</v>
      </c>
      <c r="I1300" s="7">
        <f>G1300*H1300</f>
        <v/>
      </c>
      <c r="J1300" s="16" t="inlineStr">
        <is>
          <t>لم يُجرد</t>
        </is>
      </c>
      <c r="K1300" s="14" t="n">
        <v>0</v>
      </c>
      <c r="L1300" s="14" t="n">
        <v>4</v>
      </c>
      <c r="M1300" s="5" t="inlineStr"/>
      <c r="N1300" s="5" t="inlineStr"/>
    </row>
    <row r="1301">
      <c r="A1301" s="13" t="inlineStr">
        <is>
          <t>00021615</t>
        </is>
      </c>
      <c r="B1301" s="5" t="inlineStr">
        <is>
          <t>[00021615] STREPSILS HONEY&amp;LEMON 36 LOZA</t>
        </is>
      </c>
      <c r="C1301" s="5" t="inlineStr">
        <is>
          <t>دواء</t>
        </is>
      </c>
      <c r="D1301" s="13" t="inlineStr">
        <is>
          <t>5000158106772</t>
        </is>
      </c>
      <c r="E1301" s="14">
        <f>L1301-K1301</f>
        <v/>
      </c>
      <c r="F1301" s="14" t="n">
        <v>0</v>
      </c>
      <c r="G1301" s="14">
        <f>F1301-E1301</f>
        <v/>
      </c>
      <c r="H1301" s="7" t="n">
        <v>44</v>
      </c>
      <c r="I1301" s="7">
        <f>G1301*H1301</f>
        <v/>
      </c>
      <c r="J1301" s="16" t="inlineStr">
        <is>
          <t>لم يُجرد</t>
        </is>
      </c>
      <c r="K1301" s="14" t="n">
        <v>0</v>
      </c>
      <c r="L1301" s="14" t="n">
        <v>1</v>
      </c>
      <c r="M1301" s="5" t="inlineStr"/>
      <c r="N1301" s="5" t="inlineStr"/>
    </row>
    <row r="1302">
      <c r="A1302" s="13" t="inlineStr">
        <is>
          <t>00027783</t>
        </is>
      </c>
      <c r="B1302" s="5" t="inlineStr">
        <is>
          <t>[00027783] RECTACURE CREAM 30GM</t>
        </is>
      </c>
      <c r="C1302" s="5" t="inlineStr">
        <is>
          <t>دواء</t>
        </is>
      </c>
      <c r="D1302" s="13" t="inlineStr"/>
      <c r="E1302" s="14">
        <f>L1302-K1302</f>
        <v/>
      </c>
      <c r="F1302" s="14" t="n">
        <v>0</v>
      </c>
      <c r="G1302" s="14">
        <f>F1302-E1302</f>
        <v/>
      </c>
      <c r="H1302" s="7" t="n">
        <v>15</v>
      </c>
      <c r="I1302" s="7">
        <f>G1302*H1302</f>
        <v/>
      </c>
      <c r="J1302" s="16" t="inlineStr">
        <is>
          <t>لم يُجرد</t>
        </is>
      </c>
      <c r="K1302" s="14" t="n">
        <v>0</v>
      </c>
      <c r="L1302" s="14" t="n">
        <v>3</v>
      </c>
      <c r="M1302" s="5" t="inlineStr"/>
      <c r="N1302" s="5" t="inlineStr"/>
    </row>
    <row r="1303">
      <c r="A1303" s="13" t="inlineStr">
        <is>
          <t>00042627</t>
        </is>
      </c>
      <c r="B1303" s="5" t="inlineStr">
        <is>
          <t>[00042627] JUSPRIN EC 81MG 90TAB</t>
        </is>
      </c>
      <c r="C1303" s="5" t="inlineStr">
        <is>
          <t>دواء</t>
        </is>
      </c>
      <c r="D1303" s="13" t="inlineStr"/>
      <c r="E1303" s="14">
        <f>L1303-K1303</f>
        <v/>
      </c>
      <c r="F1303" s="14" t="n">
        <v>0</v>
      </c>
      <c r="G1303" s="14">
        <f>F1303-E1303</f>
        <v/>
      </c>
      <c r="H1303" s="7" t="n">
        <v>22.5</v>
      </c>
      <c r="I1303" s="7">
        <f>G1303*H1303</f>
        <v/>
      </c>
      <c r="J1303" s="16" t="inlineStr">
        <is>
          <t>لم يُجرد</t>
        </is>
      </c>
      <c r="K1303" s="14" t="n">
        <v>0</v>
      </c>
      <c r="L1303" s="14" t="n">
        <v>2</v>
      </c>
      <c r="M1303" s="5" t="inlineStr"/>
      <c r="N1303" s="5" t="inlineStr"/>
    </row>
    <row r="1304">
      <c r="A1304" s="13" t="inlineStr">
        <is>
          <t>00045109</t>
        </is>
      </c>
      <c r="B1304" s="5" t="inlineStr">
        <is>
          <t>[00045109] FILTRUM 400MG 50 TAB</t>
        </is>
      </c>
      <c r="C1304" s="5" t="inlineStr">
        <is>
          <t>دواء</t>
        </is>
      </c>
      <c r="D1304" s="13" t="inlineStr">
        <is>
          <t>4680020232962</t>
        </is>
      </c>
      <c r="E1304" s="14">
        <f>L1304-K1304</f>
        <v/>
      </c>
      <c r="F1304" s="14" t="n">
        <v>0</v>
      </c>
      <c r="G1304" s="14">
        <f>F1304-E1304</f>
        <v/>
      </c>
      <c r="H1304" s="7" t="n">
        <v>75</v>
      </c>
      <c r="I1304" s="7">
        <f>G1304*H1304</f>
        <v/>
      </c>
      <c r="J1304" s="16" t="inlineStr">
        <is>
          <t>لم يُجرد</t>
        </is>
      </c>
      <c r="K1304" s="14" t="n">
        <v>0</v>
      </c>
      <c r="L1304" s="14" t="n">
        <v>1</v>
      </c>
      <c r="M1304" s="5" t="inlineStr"/>
      <c r="N1304" s="5" t="inlineStr"/>
    </row>
    <row r="1305">
      <c r="A1305" s="13" t="inlineStr">
        <is>
          <t>00048560</t>
        </is>
      </c>
      <c r="B1305" s="5" t="inlineStr">
        <is>
          <t>[00048560] GUMAZING LUTEIN 60 GUMMIES 3940</t>
        </is>
      </c>
      <c r="C1305" s="5" t="inlineStr">
        <is>
          <t>دواء</t>
        </is>
      </c>
      <c r="D1305" s="13" t="inlineStr">
        <is>
          <t>5060748883940</t>
        </is>
      </c>
      <c r="E1305" s="14">
        <f>L1305-K1305</f>
        <v/>
      </c>
      <c r="F1305" s="14" t="n">
        <v>0</v>
      </c>
      <c r="G1305" s="14">
        <f>F1305-E1305</f>
        <v/>
      </c>
      <c r="H1305" s="7" t="n">
        <v>125</v>
      </c>
      <c r="I1305" s="7">
        <f>G1305*H1305</f>
        <v/>
      </c>
      <c r="J1305" s="16" t="inlineStr">
        <is>
          <t>لم يُجرد</t>
        </is>
      </c>
      <c r="K1305" s="14" t="n">
        <v>0</v>
      </c>
      <c r="L1305" s="14" t="n">
        <v>1</v>
      </c>
      <c r="M1305" s="5" t="inlineStr"/>
      <c r="N1305" s="5" t="inlineStr"/>
    </row>
    <row r="1306">
      <c r="A1306" s="13" t="inlineStr">
        <is>
          <t>00022847</t>
        </is>
      </c>
      <c r="B1306" s="5" t="inlineStr">
        <is>
          <t>[00022847] AVALON AVOHEX PLUS 682 M.WASH</t>
        </is>
      </c>
      <c r="C1306" s="5" t="inlineStr">
        <is>
          <t>دواء</t>
        </is>
      </c>
      <c r="D1306" s="13" t="inlineStr">
        <is>
          <t>6285095010682</t>
        </is>
      </c>
      <c r="E1306" s="14">
        <f>L1306-K1306</f>
        <v/>
      </c>
      <c r="F1306" s="14" t="n">
        <v>0</v>
      </c>
      <c r="G1306" s="14">
        <f>F1306-E1306</f>
        <v/>
      </c>
      <c r="H1306" s="7" t="n">
        <v>45</v>
      </c>
      <c r="I1306" s="7">
        <f>G1306*H1306</f>
        <v/>
      </c>
      <c r="J1306" s="16" t="inlineStr">
        <is>
          <t>لم يُجرد</t>
        </is>
      </c>
      <c r="K1306" s="14" t="n">
        <v>0</v>
      </c>
      <c r="L1306" s="14" t="n">
        <v>2</v>
      </c>
      <c r="M1306" s="5" t="inlineStr"/>
      <c r="N1306" s="5" t="inlineStr"/>
    </row>
    <row r="1307">
      <c r="A1307" s="13" t="inlineStr">
        <is>
          <t>00018555</t>
        </is>
      </c>
      <c r="B1307" s="5" t="inlineStr">
        <is>
          <t>[00018555] RELEZIN 2MG TAB</t>
        </is>
      </c>
      <c r="C1307" s="5" t="inlineStr">
        <is>
          <t>دواء</t>
        </is>
      </c>
      <c r="D1307" s="13" t="inlineStr">
        <is>
          <t>06287042911431</t>
        </is>
      </c>
      <c r="E1307" s="14">
        <f>L1307-K1307</f>
        <v/>
      </c>
      <c r="F1307" s="14" t="n">
        <v>0</v>
      </c>
      <c r="G1307" s="14">
        <f>F1307-E1307</f>
        <v/>
      </c>
      <c r="H1307" s="7" t="n">
        <v>14.75</v>
      </c>
      <c r="I1307" s="7">
        <f>G1307*H1307</f>
        <v/>
      </c>
      <c r="J1307" s="16" t="inlineStr">
        <is>
          <t>لم يُجرد</t>
        </is>
      </c>
      <c r="K1307" s="14" t="n">
        <v>0</v>
      </c>
      <c r="L1307" s="14" t="n">
        <v>3</v>
      </c>
      <c r="M1307" s="5" t="inlineStr"/>
      <c r="N1307" s="5" t="inlineStr"/>
    </row>
    <row r="1308">
      <c r="A1308" s="13" t="inlineStr">
        <is>
          <t>00036707</t>
        </is>
      </c>
      <c r="B1308" s="5" t="inlineStr">
        <is>
          <t>[00036707] SAMAVAG INTIMATE LOTION 240ML 1466</t>
        </is>
      </c>
      <c r="C1308" s="5" t="inlineStr">
        <is>
          <t>دواء</t>
        </is>
      </c>
      <c r="D1308" s="13" t="inlineStr">
        <is>
          <t>6224008981466</t>
        </is>
      </c>
      <c r="E1308" s="14">
        <f>L1308-K1308</f>
        <v/>
      </c>
      <c r="F1308" s="14" t="n">
        <v>0</v>
      </c>
      <c r="G1308" s="14">
        <f>F1308-E1308</f>
        <v/>
      </c>
      <c r="H1308" s="7" t="n">
        <v>79</v>
      </c>
      <c r="I1308" s="7">
        <f>G1308*H1308</f>
        <v/>
      </c>
      <c r="J1308" s="16" t="inlineStr">
        <is>
          <t>لم يُجرد</t>
        </is>
      </c>
      <c r="K1308" s="14" t="n">
        <v>0</v>
      </c>
      <c r="L1308" s="14" t="n">
        <v>2</v>
      </c>
      <c r="M1308" s="5" t="inlineStr"/>
      <c r="N1308" s="5" t="inlineStr"/>
    </row>
    <row r="1309">
      <c r="A1309" s="13" t="inlineStr">
        <is>
          <t>0004065</t>
        </is>
      </c>
      <c r="B1309" s="5" t="inlineStr">
        <is>
          <t>[0004065] ADOL 125MG SUPP</t>
        </is>
      </c>
      <c r="C1309" s="5" t="inlineStr">
        <is>
          <t>دواء</t>
        </is>
      </c>
      <c r="D1309" s="13" t="inlineStr">
        <is>
          <t>06291100080038</t>
        </is>
      </c>
      <c r="E1309" s="14">
        <f>L1309-K1309</f>
        <v/>
      </c>
      <c r="F1309" s="14" t="n">
        <v>0</v>
      </c>
      <c r="G1309" s="14">
        <f>F1309-E1309</f>
        <v/>
      </c>
      <c r="H1309" s="7" t="n">
        <v>4.9</v>
      </c>
      <c r="I1309" s="7">
        <f>G1309*H1309</f>
        <v/>
      </c>
      <c r="J1309" s="16" t="inlineStr">
        <is>
          <t>لم يُجرد</t>
        </is>
      </c>
      <c r="K1309" s="14" t="n">
        <v>0</v>
      </c>
      <c r="L1309" s="14" t="n">
        <v>9</v>
      </c>
      <c r="M1309" s="5" t="inlineStr"/>
      <c r="N1309" s="5" t="inlineStr"/>
    </row>
    <row r="1310">
      <c r="A1310" s="13" t="inlineStr">
        <is>
          <t>0004384</t>
        </is>
      </c>
      <c r="B1310" s="5" t="inlineStr">
        <is>
          <t>[0004384] BUTALIN 0.5% SOLN 20ML</t>
        </is>
      </c>
      <c r="C1310" s="5" t="inlineStr">
        <is>
          <t>دواء</t>
        </is>
      </c>
      <c r="D1310" s="13" t="inlineStr"/>
      <c r="E1310" s="14">
        <f>L1310-K1310</f>
        <v/>
      </c>
      <c r="F1310" s="14" t="n">
        <v>0</v>
      </c>
      <c r="G1310" s="14">
        <f>F1310-E1310</f>
        <v/>
      </c>
      <c r="H1310" s="7" t="n">
        <v>14.6</v>
      </c>
      <c r="I1310" s="7">
        <f>G1310*H1310</f>
        <v/>
      </c>
      <c r="J1310" s="16" t="inlineStr">
        <is>
          <t>لم يُجرد</t>
        </is>
      </c>
      <c r="K1310" s="14" t="n">
        <v>0</v>
      </c>
      <c r="L1310" s="14" t="n">
        <v>3</v>
      </c>
      <c r="M1310" s="5" t="inlineStr"/>
      <c r="N1310" s="5" t="inlineStr"/>
    </row>
    <row r="1311">
      <c r="A1311" s="13" t="inlineStr">
        <is>
          <t>0004112</t>
        </is>
      </c>
      <c r="B1311" s="5" t="inlineStr">
        <is>
          <t>[0004112] ADOL SINUS 24TAB</t>
        </is>
      </c>
      <c r="C1311" s="5" t="inlineStr">
        <is>
          <t>دواء</t>
        </is>
      </c>
      <c r="D1311" s="13" t="inlineStr"/>
      <c r="E1311" s="14">
        <f>L1311-K1311</f>
        <v/>
      </c>
      <c r="F1311" s="14" t="n">
        <v>0</v>
      </c>
      <c r="G1311" s="14">
        <f>F1311-E1311</f>
        <v/>
      </c>
      <c r="H1311" s="7" t="n">
        <v>10.9</v>
      </c>
      <c r="I1311" s="7">
        <f>G1311*H1311</f>
        <v/>
      </c>
      <c r="J1311" s="16" t="inlineStr">
        <is>
          <t>لم يُجرد</t>
        </is>
      </c>
      <c r="K1311" s="14" t="n">
        <v>0</v>
      </c>
      <c r="L1311" s="14" t="n">
        <v>4</v>
      </c>
      <c r="M1311" s="5" t="inlineStr"/>
      <c r="N1311" s="5" t="inlineStr"/>
    </row>
    <row r="1312">
      <c r="A1312" s="13" t="inlineStr">
        <is>
          <t>00012818</t>
        </is>
      </c>
      <c r="B1312" s="5" t="inlineStr">
        <is>
          <t>[00012818] AQUALYTE APPLE TASTE SOLUTION</t>
        </is>
      </c>
      <c r="C1312" s="5" t="inlineStr">
        <is>
          <t>دواء</t>
        </is>
      </c>
      <c r="D1312" s="13" t="inlineStr">
        <is>
          <t>6288030000359</t>
        </is>
      </c>
      <c r="E1312" s="14">
        <f>L1312-K1312</f>
        <v/>
      </c>
      <c r="F1312" s="14" t="n">
        <v>0</v>
      </c>
      <c r="G1312" s="14">
        <f>F1312-E1312</f>
        <v/>
      </c>
      <c r="H1312" s="7" t="n">
        <v>12.15</v>
      </c>
      <c r="I1312" s="7">
        <f>G1312*H1312</f>
        <v/>
      </c>
      <c r="J1312" s="16" t="inlineStr">
        <is>
          <t>لم يُجرد</t>
        </is>
      </c>
      <c r="K1312" s="14" t="n">
        <v>0</v>
      </c>
      <c r="L1312" s="14" t="n">
        <v>6</v>
      </c>
      <c r="M1312" s="5" t="inlineStr"/>
      <c r="N1312" s="5" t="inlineStr"/>
    </row>
    <row r="1313">
      <c r="A1313" s="13" t="inlineStr">
        <is>
          <t>00034056</t>
        </is>
      </c>
      <c r="B1313" s="5" t="inlineStr">
        <is>
          <t>[00034056] SMILE ORTHO M.WASH 300ML</t>
        </is>
      </c>
      <c r="C1313" s="5" t="inlineStr">
        <is>
          <t>دواء</t>
        </is>
      </c>
      <c r="D1313" s="13" t="inlineStr">
        <is>
          <t>795697001293</t>
        </is>
      </c>
      <c r="E1313" s="14">
        <f>L1313-K1313</f>
        <v/>
      </c>
      <c r="F1313" s="14" t="n">
        <v>0</v>
      </c>
      <c r="G1313" s="14">
        <f>F1313-E1313</f>
        <v/>
      </c>
      <c r="H1313" s="7" t="n">
        <v>45</v>
      </c>
      <c r="I1313" s="7">
        <f>G1313*H1313</f>
        <v/>
      </c>
      <c r="J1313" s="16" t="inlineStr">
        <is>
          <t>لم يُجرد</t>
        </is>
      </c>
      <c r="K1313" s="14" t="n">
        <v>0</v>
      </c>
      <c r="L1313" s="14" t="n">
        <v>2</v>
      </c>
      <c r="M1313" s="5" t="inlineStr"/>
      <c r="N1313" s="5" t="inlineStr"/>
    </row>
    <row r="1314">
      <c r="A1314" s="13" t="inlineStr">
        <is>
          <t>00034238</t>
        </is>
      </c>
      <c r="B1314" s="5" t="inlineStr">
        <is>
          <t>[00034238] ORAL C ORAL GEL0960 30 ML</t>
        </is>
      </c>
      <c r="C1314" s="5" t="inlineStr">
        <is>
          <t>دواء</t>
        </is>
      </c>
      <c r="D1314" s="13" t="inlineStr">
        <is>
          <t>6285756000960</t>
        </is>
      </c>
      <c r="E1314" s="14">
        <f>L1314-K1314</f>
        <v/>
      </c>
      <c r="F1314" s="14" t="n">
        <v>0</v>
      </c>
      <c r="G1314" s="14">
        <f>F1314-E1314</f>
        <v/>
      </c>
      <c r="H1314" s="7" t="n">
        <v>45</v>
      </c>
      <c r="I1314" s="7">
        <f>G1314*H1314</f>
        <v/>
      </c>
      <c r="J1314" s="16" t="inlineStr">
        <is>
          <t>لم يُجرد</t>
        </is>
      </c>
      <c r="K1314" s="14" t="n">
        <v>0</v>
      </c>
      <c r="L1314" s="14" t="n">
        <v>2</v>
      </c>
      <c r="M1314" s="5" t="inlineStr"/>
      <c r="N1314" s="5" t="inlineStr"/>
    </row>
    <row r="1315">
      <c r="A1315" s="13" t="inlineStr">
        <is>
          <t>0005059</t>
        </is>
      </c>
      <c r="B1315" s="5" t="inlineStr">
        <is>
          <t>[0005059] RESPAL 4MG 20TAB</t>
        </is>
      </c>
      <c r="C1315" s="5" t="inlineStr">
        <is>
          <t>دواء</t>
        </is>
      </c>
      <c r="D1315" s="13" t="inlineStr"/>
      <c r="E1315" s="14">
        <f>L1315-K1315</f>
        <v/>
      </c>
      <c r="F1315" s="14" t="n">
        <v>0</v>
      </c>
      <c r="G1315" s="14">
        <f>F1315-E1315</f>
        <v/>
      </c>
      <c r="H1315" s="7" t="n">
        <v>21.5</v>
      </c>
      <c r="I1315" s="7">
        <f>G1315*H1315</f>
        <v/>
      </c>
      <c r="J1315" s="16" t="inlineStr">
        <is>
          <t>لم يُجرد</t>
        </is>
      </c>
      <c r="K1315" s="14" t="n">
        <v>0</v>
      </c>
      <c r="L1315" s="14" t="n">
        <v>2</v>
      </c>
      <c r="M1315" s="5" t="inlineStr"/>
      <c r="N1315" s="5" t="inlineStr"/>
    </row>
    <row r="1316">
      <c r="A1316" s="13" t="inlineStr">
        <is>
          <t>0005812</t>
        </is>
      </c>
      <c r="B1316" s="5" t="inlineStr">
        <is>
          <t>[0005812] LORVAST 10 MG 30 TAB</t>
        </is>
      </c>
      <c r="C1316" s="5" t="inlineStr">
        <is>
          <t>دواء</t>
        </is>
      </c>
      <c r="D1316" s="13" t="inlineStr">
        <is>
          <t>06285147002085</t>
        </is>
      </c>
      <c r="E1316" s="14">
        <f>L1316-K1316</f>
        <v/>
      </c>
      <c r="F1316" s="14" t="n">
        <v>0</v>
      </c>
      <c r="G1316" s="14">
        <f>F1316-E1316</f>
        <v/>
      </c>
      <c r="H1316" s="7" t="n">
        <v>43.45</v>
      </c>
      <c r="I1316" s="7">
        <f>G1316*H1316</f>
        <v/>
      </c>
      <c r="J1316" s="16" t="inlineStr">
        <is>
          <t>لم يُجرد</t>
        </is>
      </c>
      <c r="K1316" s="14" t="n">
        <v>0</v>
      </c>
      <c r="L1316" s="14" t="n">
        <v>1</v>
      </c>
      <c r="M1316" s="5" t="inlineStr"/>
      <c r="N1316" s="5" t="inlineStr"/>
    </row>
    <row r="1317">
      <c r="A1317" s="13" t="inlineStr">
        <is>
          <t>0005222</t>
        </is>
      </c>
      <c r="B1317" s="5" t="inlineStr">
        <is>
          <t>[0005222] PROF ORAL SUSP 100ML WASFA</t>
        </is>
      </c>
      <c r="C1317" s="5" t="inlineStr">
        <is>
          <t>دواء</t>
        </is>
      </c>
      <c r="D1317" s="13" t="inlineStr">
        <is>
          <t>06285147800599</t>
        </is>
      </c>
      <c r="E1317" s="14">
        <f>L1317-K1317</f>
        <v/>
      </c>
      <c r="F1317" s="14" t="n">
        <v>0</v>
      </c>
      <c r="G1317" s="14">
        <f>F1317-E1317</f>
        <v/>
      </c>
      <c r="H1317" s="7" t="n">
        <v>7.2</v>
      </c>
      <c r="I1317" s="7">
        <f>G1317*H1317</f>
        <v/>
      </c>
      <c r="J1317" s="16" t="inlineStr">
        <is>
          <t>لم يُجرد</t>
        </is>
      </c>
      <c r="K1317" s="14" t="n">
        <v>0</v>
      </c>
      <c r="L1317" s="14" t="n">
        <v>6</v>
      </c>
      <c r="M1317" s="5" t="inlineStr"/>
      <c r="N1317" s="5" t="inlineStr"/>
    </row>
    <row r="1318">
      <c r="A1318" s="13" t="inlineStr">
        <is>
          <t>0004585</t>
        </is>
      </c>
      <c r="B1318" s="5" t="inlineStr">
        <is>
          <t>[0004585] XALATAN EYE DROPS 25ML*******</t>
        </is>
      </c>
      <c r="C1318" s="5" t="inlineStr">
        <is>
          <t>دواء</t>
        </is>
      </c>
      <c r="D1318" s="13" t="inlineStr"/>
      <c r="E1318" s="14">
        <f>L1318-K1318</f>
        <v/>
      </c>
      <c r="F1318" s="14" t="n">
        <v>0</v>
      </c>
      <c r="G1318" s="14">
        <f>F1318-E1318</f>
        <v/>
      </c>
      <c r="H1318" s="7" t="n">
        <v>42.65</v>
      </c>
      <c r="I1318" s="7">
        <f>G1318*H1318</f>
        <v/>
      </c>
      <c r="J1318" s="16" t="inlineStr">
        <is>
          <t>لم يُجرد</t>
        </is>
      </c>
      <c r="K1318" s="14" t="n">
        <v>0</v>
      </c>
      <c r="L1318" s="14" t="n">
        <v>1</v>
      </c>
      <c r="M1318" s="5" t="inlineStr"/>
      <c r="N1318" s="5" t="inlineStr"/>
    </row>
    <row r="1319">
      <c r="A1319" s="13" t="inlineStr">
        <is>
          <t>0004318</t>
        </is>
      </c>
      <c r="B1319" s="5" t="inlineStr">
        <is>
          <t>[0004318] CEFIX 400MG TAB 6CAPS</t>
        </is>
      </c>
      <c r="C1319" s="5" t="inlineStr">
        <is>
          <t>دواء</t>
        </is>
      </c>
      <c r="D1319" s="13" t="inlineStr">
        <is>
          <t>06251106401664</t>
        </is>
      </c>
      <c r="E1319" s="14">
        <f>L1319-K1319</f>
        <v/>
      </c>
      <c r="F1319" s="14" t="n">
        <v>0</v>
      </c>
      <c r="G1319" s="14">
        <f>F1319-E1319</f>
        <v/>
      </c>
      <c r="H1319" s="7" t="n">
        <v>45.8</v>
      </c>
      <c r="I1319" s="7">
        <f>G1319*H1319</f>
        <v/>
      </c>
      <c r="J1319" s="16" t="inlineStr">
        <is>
          <t>لم يُجرد</t>
        </is>
      </c>
      <c r="K1319" s="14" t="n">
        <v>0</v>
      </c>
      <c r="L1319" s="14" t="n">
        <v>1</v>
      </c>
      <c r="M1319" s="5" t="inlineStr"/>
      <c r="N1319" s="5" t="inlineStr"/>
    </row>
    <row r="1320">
      <c r="A1320" s="13" t="inlineStr">
        <is>
          <t>0003811</t>
        </is>
      </c>
      <c r="B1320" s="5" t="inlineStr">
        <is>
          <t>[0003811] FERROFOL 30CAP***</t>
        </is>
      </c>
      <c r="C1320" s="5" t="inlineStr">
        <is>
          <t>دواء</t>
        </is>
      </c>
      <c r="D1320" s="13" t="inlineStr"/>
      <c r="E1320" s="14">
        <f>L1320-K1320</f>
        <v/>
      </c>
      <c r="F1320" s="14" t="n">
        <v>0</v>
      </c>
      <c r="G1320" s="14">
        <f>F1320-E1320</f>
        <v/>
      </c>
      <c r="H1320" s="7" t="n">
        <v>8.4</v>
      </c>
      <c r="I1320" s="7">
        <f>G1320*H1320</f>
        <v/>
      </c>
      <c r="J1320" s="16" t="inlineStr">
        <is>
          <t>لم يُجرد</t>
        </is>
      </c>
      <c r="K1320" s="14" t="n">
        <v>0</v>
      </c>
      <c r="L1320" s="14" t="n">
        <v>6</v>
      </c>
      <c r="M1320" s="5" t="inlineStr"/>
      <c r="N1320" s="5" t="inlineStr"/>
    </row>
    <row r="1321">
      <c r="A1321" s="13" t="inlineStr">
        <is>
          <t>0005511</t>
        </is>
      </c>
      <c r="B1321" s="5" t="inlineStr">
        <is>
          <t>[0005511] NICOTINELL TTS 10 MG 7 SYSTEM W*****</t>
        </is>
      </c>
      <c r="C1321" s="5" t="inlineStr">
        <is>
          <t>دواء</t>
        </is>
      </c>
      <c r="D1321" s="13" t="inlineStr">
        <is>
          <t>01076300354000371704</t>
        </is>
      </c>
      <c r="E1321" s="14">
        <f>L1321-K1321</f>
        <v/>
      </c>
      <c r="F1321" s="14" t="n">
        <v>0</v>
      </c>
      <c r="G1321" s="14">
        <f>F1321-E1321</f>
        <v/>
      </c>
      <c r="H1321" s="7" t="n">
        <v>66.09999999999999</v>
      </c>
      <c r="I1321" s="7">
        <f>G1321*H1321</f>
        <v/>
      </c>
      <c r="J1321" s="16" t="inlineStr">
        <is>
          <t>لم يُجرد</t>
        </is>
      </c>
      <c r="K1321" s="14" t="n">
        <v>0</v>
      </c>
      <c r="L1321" s="14" t="n">
        <v>1</v>
      </c>
      <c r="M1321" s="5" t="inlineStr"/>
      <c r="N1321" s="5" t="inlineStr"/>
    </row>
    <row r="1322">
      <c r="A1322" s="13" t="inlineStr">
        <is>
          <t>0004198</t>
        </is>
      </c>
      <c r="B1322" s="5" t="inlineStr">
        <is>
          <t>[0004198] DEFONASE 100 ML SYRUP</t>
        </is>
      </c>
      <c r="C1322" s="5" t="inlineStr">
        <is>
          <t>دواء</t>
        </is>
      </c>
      <c r="D1322" s="13" t="inlineStr">
        <is>
          <t>01062811470001061718</t>
        </is>
      </c>
      <c r="E1322" s="14">
        <f>L1322-K1322</f>
        <v/>
      </c>
      <c r="F1322" s="14" t="n">
        <v>0</v>
      </c>
      <c r="G1322" s="14">
        <f>F1322-E1322</f>
        <v/>
      </c>
      <c r="H1322" s="7" t="n">
        <v>21</v>
      </c>
      <c r="I1322" s="7">
        <f>G1322*H1322</f>
        <v/>
      </c>
      <c r="J1322" s="16" t="inlineStr">
        <is>
          <t>لم يُجرد</t>
        </is>
      </c>
      <c r="K1322" s="14" t="n">
        <v>0</v>
      </c>
      <c r="L1322" s="14" t="n">
        <v>2</v>
      </c>
      <c r="M1322" s="5" t="inlineStr"/>
      <c r="N1322" s="5" t="inlineStr"/>
    </row>
    <row r="1323">
      <c r="A1323" s="13" t="inlineStr">
        <is>
          <t>0004832</t>
        </is>
      </c>
      <c r="B1323" s="5" t="inlineStr">
        <is>
          <t>[0004832] SORTIVA H 50/12.5MG 30TAB</t>
        </is>
      </c>
      <c r="C1323" s="5" t="inlineStr">
        <is>
          <t>دواء</t>
        </is>
      </c>
      <c r="D1323" s="13" t="inlineStr">
        <is>
          <t>06281086012130</t>
        </is>
      </c>
      <c r="E1323" s="14">
        <f>L1323-K1323</f>
        <v/>
      </c>
      <c r="F1323" s="14" t="n">
        <v>0</v>
      </c>
      <c r="G1323" s="14">
        <f>F1323-E1323</f>
        <v/>
      </c>
      <c r="H1323" s="7" t="n">
        <v>41.9</v>
      </c>
      <c r="I1323" s="7">
        <f>G1323*H1323</f>
        <v/>
      </c>
      <c r="J1323" s="16" t="inlineStr">
        <is>
          <t>لم يُجرد</t>
        </is>
      </c>
      <c r="K1323" s="14" t="n">
        <v>0</v>
      </c>
      <c r="L1323" s="14" t="n">
        <v>1</v>
      </c>
      <c r="M1323" s="5" t="inlineStr"/>
      <c r="N1323" s="5" t="inlineStr"/>
    </row>
    <row r="1324">
      <c r="A1324" s="13" t="inlineStr">
        <is>
          <t>00039348</t>
        </is>
      </c>
      <c r="B1324" s="5" t="inlineStr">
        <is>
          <t>[00039348] MUXAVA 400MG 5TAB</t>
        </is>
      </c>
      <c r="C1324" s="5" t="inlineStr">
        <is>
          <t>دواء</t>
        </is>
      </c>
      <c r="D1324" s="13" t="inlineStr"/>
      <c r="E1324" s="14">
        <f>L1324-K1324</f>
        <v/>
      </c>
      <c r="F1324" s="14" t="n">
        <v>0</v>
      </c>
      <c r="G1324" s="14">
        <f>F1324-E1324</f>
        <v/>
      </c>
      <c r="H1324" s="7" t="n">
        <v>41.85</v>
      </c>
      <c r="I1324" s="7">
        <f>G1324*H1324</f>
        <v/>
      </c>
      <c r="J1324" s="16" t="inlineStr">
        <is>
          <t>لم يُجرد</t>
        </is>
      </c>
      <c r="K1324" s="14" t="n">
        <v>0</v>
      </c>
      <c r="L1324" s="14" t="n">
        <v>1</v>
      </c>
      <c r="M1324" s="5" t="inlineStr"/>
      <c r="N1324" s="5" t="inlineStr"/>
    </row>
    <row r="1325">
      <c r="A1325" s="13" t="inlineStr">
        <is>
          <t>00047607</t>
        </is>
      </c>
      <c r="B1325" s="5" t="inlineStr">
        <is>
          <t>[00047607] LIMI KAL D3 30TAB 7241</t>
        </is>
      </c>
      <c r="C1325" s="5" t="inlineStr">
        <is>
          <t>دواء</t>
        </is>
      </c>
      <c r="D1325" s="13" t="inlineStr">
        <is>
          <t>0608028917241</t>
        </is>
      </c>
      <c r="E1325" s="14">
        <f>L1325-K1325</f>
        <v/>
      </c>
      <c r="F1325" s="14" t="n">
        <v>0</v>
      </c>
      <c r="G1325" s="14">
        <f>F1325-E1325</f>
        <v/>
      </c>
      <c r="H1325" s="7" t="n">
        <v>86.95999999999999</v>
      </c>
      <c r="I1325" s="7">
        <f>G1325*H1325</f>
        <v/>
      </c>
      <c r="J1325" s="16" t="inlineStr">
        <is>
          <t>لم يُجرد</t>
        </is>
      </c>
      <c r="K1325" s="14" t="n">
        <v>0</v>
      </c>
      <c r="L1325" s="14" t="n">
        <v>1</v>
      </c>
      <c r="M1325" s="5" t="inlineStr"/>
      <c r="N1325" s="5" t="inlineStr"/>
    </row>
    <row r="1326">
      <c r="A1326" s="13" t="inlineStr">
        <is>
          <t>00027829</t>
        </is>
      </c>
      <c r="B1326" s="5" t="inlineStr">
        <is>
          <t>[00027829] JAMIESON ZINC 10MG 100TAB</t>
        </is>
      </c>
      <c r="C1326" s="5" t="inlineStr">
        <is>
          <t>دواء</t>
        </is>
      </c>
      <c r="D1326" s="13" t="inlineStr">
        <is>
          <t>064642073983</t>
        </is>
      </c>
      <c r="E1326" s="14">
        <f>L1326-K1326</f>
        <v/>
      </c>
      <c r="F1326" s="14" t="n">
        <v>0</v>
      </c>
      <c r="G1326" s="14">
        <f>F1326-E1326</f>
        <v/>
      </c>
      <c r="H1326" s="7" t="n">
        <v>55</v>
      </c>
      <c r="I1326" s="7">
        <f>G1326*H1326</f>
        <v/>
      </c>
      <c r="J1326" s="16" t="inlineStr">
        <is>
          <t>لم يُجرد</t>
        </is>
      </c>
      <c r="K1326" s="14" t="n">
        <v>0</v>
      </c>
      <c r="L1326" s="14" t="n">
        <v>1</v>
      </c>
      <c r="M1326" s="5" t="inlineStr"/>
      <c r="N1326" s="5" t="inlineStr"/>
    </row>
    <row r="1327">
      <c r="A1327" s="13" t="inlineStr">
        <is>
          <t>00037308</t>
        </is>
      </c>
      <c r="B1327" s="5" t="inlineStr">
        <is>
          <t>[00037308] COXICEL 200MG 30CAP</t>
        </is>
      </c>
      <c r="C1327" s="5" t="inlineStr">
        <is>
          <t>دواء</t>
        </is>
      </c>
      <c r="D1327" s="13" t="inlineStr"/>
      <c r="E1327" s="14">
        <f>L1327-K1327</f>
        <v/>
      </c>
      <c r="F1327" s="14" t="n">
        <v>0</v>
      </c>
      <c r="G1327" s="14">
        <f>F1327-E1327</f>
        <v/>
      </c>
      <c r="H1327" s="7" t="n">
        <v>41.8</v>
      </c>
      <c r="I1327" s="7">
        <f>G1327*H1327</f>
        <v/>
      </c>
      <c r="J1327" s="16" t="inlineStr">
        <is>
          <t>لم يُجرد</t>
        </is>
      </c>
      <c r="K1327" s="14" t="n">
        <v>0</v>
      </c>
      <c r="L1327" s="14" t="n">
        <v>1</v>
      </c>
      <c r="M1327" s="5" t="inlineStr"/>
      <c r="N1327" s="5" t="inlineStr"/>
    </row>
    <row r="1328">
      <c r="A1328" s="13" t="inlineStr">
        <is>
          <t>00013973</t>
        </is>
      </c>
      <c r="B1328" s="5" t="inlineStr">
        <is>
          <t>[00013973] DICLOPID 50 MG TAB</t>
        </is>
      </c>
      <c r="C1328" s="5" t="inlineStr">
        <is>
          <t>دواء</t>
        </is>
      </c>
      <c r="D1328" s="13" t="inlineStr">
        <is>
          <t>06285105000337</t>
        </is>
      </c>
      <c r="E1328" s="14">
        <f>L1328-K1328</f>
        <v/>
      </c>
      <c r="F1328" s="14" t="n">
        <v>0</v>
      </c>
      <c r="G1328" s="14">
        <f>F1328-E1328</f>
        <v/>
      </c>
      <c r="H1328" s="7" t="n">
        <v>12.4</v>
      </c>
      <c r="I1328" s="7">
        <f>G1328*H1328</f>
        <v/>
      </c>
      <c r="J1328" s="16" t="inlineStr">
        <is>
          <t>لم يُجرد</t>
        </is>
      </c>
      <c r="K1328" s="14" t="n">
        <v>0</v>
      </c>
      <c r="L1328" s="14" t="n">
        <v>8</v>
      </c>
      <c r="M1328" s="5" t="inlineStr"/>
      <c r="N1328" s="5" t="inlineStr"/>
    </row>
    <row r="1329">
      <c r="A1329" s="13" t="inlineStr">
        <is>
          <t>00040417</t>
        </is>
      </c>
      <c r="B1329" s="5" t="inlineStr">
        <is>
          <t>[00040417] MOVE ON CREAM 250 GM OFFER 1+1</t>
        </is>
      </c>
      <c r="C1329" s="5" t="inlineStr">
        <is>
          <t>دواء</t>
        </is>
      </c>
      <c r="D1329" s="13" t="inlineStr"/>
      <c r="E1329" s="14">
        <f>L1329-K1329</f>
        <v/>
      </c>
      <c r="F1329" s="14" t="n">
        <v>0</v>
      </c>
      <c r="G1329" s="14">
        <f>F1329-E1329</f>
        <v/>
      </c>
      <c r="H1329" s="7" t="n">
        <v>62</v>
      </c>
      <c r="I1329" s="7">
        <f>G1329*H1329</f>
        <v/>
      </c>
      <c r="J1329" s="16" t="inlineStr">
        <is>
          <t>لم يُجرد</t>
        </is>
      </c>
      <c r="K1329" s="14" t="n">
        <v>0</v>
      </c>
      <c r="L1329" s="14" t="n">
        <v>1</v>
      </c>
      <c r="M1329" s="5" t="inlineStr"/>
      <c r="N1329" s="5" t="inlineStr"/>
    </row>
    <row r="1330">
      <c r="A1330" s="13" t="inlineStr">
        <is>
          <t>00018595</t>
        </is>
      </c>
      <c r="B1330" s="5" t="inlineStr">
        <is>
          <t>[00018595] RUMAFEN 1% GEL 100GM</t>
        </is>
      </c>
      <c r="C1330" s="5" t="inlineStr">
        <is>
          <t>دواء</t>
        </is>
      </c>
      <c r="D1330" s="13" t="inlineStr"/>
      <c r="E1330" s="14">
        <f>L1330-K1330</f>
        <v/>
      </c>
      <c r="F1330" s="14" t="n">
        <v>0</v>
      </c>
      <c r="G1330" s="14">
        <f>F1330-E1330</f>
        <v/>
      </c>
      <c r="H1330" s="7" t="n">
        <v>24.7</v>
      </c>
      <c r="I1330" s="7">
        <f>G1330*H1330</f>
        <v/>
      </c>
      <c r="J1330" s="16" t="inlineStr">
        <is>
          <t>لم يُجرد</t>
        </is>
      </c>
      <c r="K1330" s="14" t="n">
        <v>0</v>
      </c>
      <c r="L1330" s="14" t="n">
        <v>3</v>
      </c>
      <c r="M1330" s="5" t="inlineStr"/>
      <c r="N1330" s="5" t="inlineStr"/>
    </row>
    <row r="1331">
      <c r="A1331" s="13" t="inlineStr">
        <is>
          <t>00024300</t>
        </is>
      </c>
      <c r="B1331" s="5" t="inlineStr">
        <is>
          <t>[00024300] WOUNDIFREE CREAM 50ML 8643</t>
        </is>
      </c>
      <c r="C1331" s="5" t="inlineStr">
        <is>
          <t>دواء</t>
        </is>
      </c>
      <c r="D1331" s="13" t="inlineStr">
        <is>
          <t>6287002338643</t>
        </is>
      </c>
      <c r="E1331" s="14">
        <f>L1331-K1331</f>
        <v/>
      </c>
      <c r="F1331" s="14" t="n">
        <v>0</v>
      </c>
      <c r="G1331" s="14">
        <f>F1331-E1331</f>
        <v/>
      </c>
      <c r="H1331" s="7" t="n">
        <v>42.5</v>
      </c>
      <c r="I1331" s="7">
        <f>G1331*H1331</f>
        <v/>
      </c>
      <c r="J1331" s="16" t="inlineStr">
        <is>
          <t>لم يُجرد</t>
        </is>
      </c>
      <c r="K1331" s="14" t="n">
        <v>0</v>
      </c>
      <c r="L1331" s="14" t="n">
        <v>2</v>
      </c>
      <c r="M1331" s="5" t="inlineStr"/>
      <c r="N1331" s="5" t="inlineStr"/>
    </row>
    <row r="1332">
      <c r="A1332" s="13" t="inlineStr">
        <is>
          <t>00045106</t>
        </is>
      </c>
      <c r="B1332" s="5" t="inlineStr">
        <is>
          <t>[00045106] BURNI FREE OINMENT 50ML 6088</t>
        </is>
      </c>
      <c r="C1332" s="5" t="inlineStr">
        <is>
          <t>دواء</t>
        </is>
      </c>
      <c r="D1332" s="13" t="inlineStr">
        <is>
          <t>6224002266088</t>
        </is>
      </c>
      <c r="E1332" s="14">
        <f>L1332-K1332</f>
        <v/>
      </c>
      <c r="F1332" s="14" t="n">
        <v>0</v>
      </c>
      <c r="G1332" s="14">
        <f>F1332-E1332</f>
        <v/>
      </c>
      <c r="H1332" s="7" t="n">
        <v>42.5</v>
      </c>
      <c r="I1332" s="7">
        <f>G1332*H1332</f>
        <v/>
      </c>
      <c r="J1332" s="16" t="inlineStr">
        <is>
          <t>لم يُجرد</t>
        </is>
      </c>
      <c r="K1332" s="14" t="n">
        <v>0</v>
      </c>
      <c r="L1332" s="14" t="n">
        <v>2</v>
      </c>
      <c r="M1332" s="5" t="inlineStr"/>
      <c r="N1332" s="5" t="inlineStr"/>
    </row>
    <row r="1333">
      <c r="A1333" s="13" t="inlineStr">
        <is>
          <t>00045110</t>
        </is>
      </c>
      <c r="B1333" s="5" t="inlineStr">
        <is>
          <t>[00045110] HEMO FREE 50ML CREAM 6101</t>
        </is>
      </c>
      <c r="C1333" s="5" t="inlineStr">
        <is>
          <t>دواء</t>
        </is>
      </c>
      <c r="D1333" s="13" t="inlineStr">
        <is>
          <t>6224002266101</t>
        </is>
      </c>
      <c r="E1333" s="14">
        <f>L1333-K1333</f>
        <v/>
      </c>
      <c r="F1333" s="14" t="n">
        <v>0</v>
      </c>
      <c r="G1333" s="14">
        <f>F1333-E1333</f>
        <v/>
      </c>
      <c r="H1333" s="7" t="n">
        <v>42.5</v>
      </c>
      <c r="I1333" s="7">
        <f>G1333*H1333</f>
        <v/>
      </c>
      <c r="J1333" s="16" t="inlineStr">
        <is>
          <t>لم يُجرد</t>
        </is>
      </c>
      <c r="K1333" s="14" t="n">
        <v>0</v>
      </c>
      <c r="L1333" s="14" t="n">
        <v>2</v>
      </c>
      <c r="M1333" s="5" t="inlineStr"/>
      <c r="N1333" s="5" t="inlineStr"/>
    </row>
    <row r="1334">
      <c r="A1334" s="13" t="inlineStr">
        <is>
          <t>00046351</t>
        </is>
      </c>
      <c r="B1334" s="5" t="inlineStr">
        <is>
          <t>[00046351] BRONCHOVENT SOLUTION 20ML</t>
        </is>
      </c>
      <c r="C1334" s="5" t="inlineStr">
        <is>
          <t>دواء</t>
        </is>
      </c>
      <c r="D1334" s="13" t="inlineStr">
        <is>
          <t>01062851110041831728</t>
        </is>
      </c>
      <c r="E1334" s="14">
        <f>L1334-K1334</f>
        <v/>
      </c>
      <c r="F1334" s="14" t="n">
        <v>0</v>
      </c>
      <c r="G1334" s="14">
        <f>F1334-E1334</f>
        <v/>
      </c>
      <c r="H1334" s="7" t="n">
        <v>12.5</v>
      </c>
      <c r="I1334" s="7">
        <f>G1334*H1334</f>
        <v/>
      </c>
      <c r="J1334" s="16" t="inlineStr">
        <is>
          <t>لم يُجرد</t>
        </is>
      </c>
      <c r="K1334" s="14" t="n">
        <v>0</v>
      </c>
      <c r="L1334" s="14" t="n">
        <v>4</v>
      </c>
      <c r="M1334" s="5" t="inlineStr"/>
      <c r="N1334" s="5" t="inlineStr"/>
    </row>
    <row r="1335">
      <c r="A1335" s="13" t="inlineStr">
        <is>
          <t>00024699</t>
        </is>
      </c>
      <c r="B1335" s="5" t="inlineStr">
        <is>
          <t>[00024699] MAXICAL PLAIN 30 TAB</t>
        </is>
      </c>
      <c r="C1335" s="5" t="inlineStr">
        <is>
          <t>دواء</t>
        </is>
      </c>
      <c r="D1335" s="13" t="inlineStr"/>
      <c r="E1335" s="14">
        <f>L1335-K1335</f>
        <v/>
      </c>
      <c r="F1335" s="14" t="n">
        <v>0</v>
      </c>
      <c r="G1335" s="14">
        <f>F1335-E1335</f>
        <v/>
      </c>
      <c r="H1335" s="7" t="n">
        <v>20.3</v>
      </c>
      <c r="I1335" s="7">
        <f>G1335*H1335</f>
        <v/>
      </c>
      <c r="J1335" s="16" t="inlineStr">
        <is>
          <t>لم يُجرد</t>
        </is>
      </c>
      <c r="K1335" s="14" t="n">
        <v>0</v>
      </c>
      <c r="L1335" s="14" t="n">
        <v>2</v>
      </c>
      <c r="M1335" s="5" t="inlineStr"/>
      <c r="N1335" s="5" t="inlineStr"/>
    </row>
    <row r="1336">
      <c r="A1336" s="13" t="inlineStr">
        <is>
          <t>0005126</t>
        </is>
      </c>
      <c r="B1336" s="5" t="inlineStr">
        <is>
          <t>[0005126] PROXEN 500MG 20TAB</t>
        </is>
      </c>
      <c r="C1336" s="5" t="inlineStr">
        <is>
          <t>دواء</t>
        </is>
      </c>
      <c r="D1336" s="13" t="inlineStr">
        <is>
          <t>01040321290061881062</t>
        </is>
      </c>
      <c r="E1336" s="14">
        <f>L1336-K1336</f>
        <v/>
      </c>
      <c r="F1336" s="14" t="n">
        <v>0</v>
      </c>
      <c r="G1336" s="14">
        <f>F1336-E1336</f>
        <v/>
      </c>
      <c r="H1336" s="7" t="n">
        <v>43.35</v>
      </c>
      <c r="I1336" s="7">
        <f>G1336*H1336</f>
        <v/>
      </c>
      <c r="J1336" s="16" t="inlineStr">
        <is>
          <t>لم يُجرد</t>
        </is>
      </c>
      <c r="K1336" s="14" t="n">
        <v>0</v>
      </c>
      <c r="L1336" s="14" t="n">
        <v>4</v>
      </c>
      <c r="M1336" s="5" t="inlineStr"/>
      <c r="N1336" s="5" t="inlineStr"/>
    </row>
    <row r="1337">
      <c r="A1337" s="13" t="inlineStr">
        <is>
          <t>00030072</t>
        </is>
      </c>
      <c r="B1337" s="5" t="inlineStr">
        <is>
          <t>[00030072] JP NERVAN 30TAB</t>
        </is>
      </c>
      <c r="C1337" s="5" t="inlineStr">
        <is>
          <t>دواء</t>
        </is>
      </c>
      <c r="D1337" s="13" t="inlineStr"/>
      <c r="E1337" s="14">
        <f>L1337-K1337</f>
        <v/>
      </c>
      <c r="F1337" s="14" t="n">
        <v>0</v>
      </c>
      <c r="G1337" s="14">
        <f>F1337-E1337</f>
        <v/>
      </c>
      <c r="H1337" s="7" t="n">
        <v>39.75</v>
      </c>
      <c r="I1337" s="7">
        <f>G1337*H1337</f>
        <v/>
      </c>
      <c r="J1337" s="16" t="inlineStr">
        <is>
          <t>لم يُجرد</t>
        </is>
      </c>
      <c r="K1337" s="14" t="n">
        <v>0</v>
      </c>
      <c r="L1337" s="14" t="n">
        <v>1</v>
      </c>
      <c r="M1337" s="5" t="inlineStr"/>
      <c r="N1337" s="5" t="inlineStr"/>
    </row>
    <row r="1338">
      <c r="A1338" s="13" t="inlineStr">
        <is>
          <t>0003561</t>
        </is>
      </c>
      <c r="B1338" s="5" t="inlineStr">
        <is>
          <t>[0003561] GLADOS 15MG 30TAB WASFA</t>
        </is>
      </c>
      <c r="C1338" s="5" t="inlineStr">
        <is>
          <t>دواء</t>
        </is>
      </c>
      <c r="D1338" s="13" t="inlineStr"/>
      <c r="E1338" s="14">
        <f>L1338-K1338</f>
        <v/>
      </c>
      <c r="F1338" s="14" t="n">
        <v>0</v>
      </c>
      <c r="G1338" s="14">
        <f>F1338-E1338</f>
        <v/>
      </c>
      <c r="H1338" s="7" t="n">
        <v>42</v>
      </c>
      <c r="I1338" s="7">
        <f>G1338*H1338</f>
        <v/>
      </c>
      <c r="J1338" s="16" t="inlineStr">
        <is>
          <t>لم يُجرد</t>
        </is>
      </c>
      <c r="K1338" s="14" t="n">
        <v>0</v>
      </c>
      <c r="L1338" s="14" t="n">
        <v>1</v>
      </c>
      <c r="M1338" s="5" t="inlineStr"/>
      <c r="N1338" s="5" t="inlineStr"/>
    </row>
    <row r="1339">
      <c r="A1339" s="13" t="inlineStr">
        <is>
          <t>00018276</t>
        </is>
      </c>
      <c r="B1339" s="5" t="inlineStr">
        <is>
          <t>[00018276] DEVARIN 10 MG 4 TAB</t>
        </is>
      </c>
      <c r="C1339" s="5" t="inlineStr">
        <is>
          <t>دواء</t>
        </is>
      </c>
      <c r="D1339" s="13" t="inlineStr"/>
      <c r="E1339" s="14">
        <f>L1339-K1339</f>
        <v/>
      </c>
      <c r="F1339" s="14" t="n">
        <v>0</v>
      </c>
      <c r="G1339" s="14">
        <f>F1339-E1339</f>
        <v/>
      </c>
      <c r="H1339" s="7" t="n">
        <v>53.95</v>
      </c>
      <c r="I1339" s="7">
        <f>G1339*H1339</f>
        <v/>
      </c>
      <c r="J1339" s="16" t="inlineStr">
        <is>
          <t>لم يُجرد</t>
        </is>
      </c>
      <c r="K1339" s="14" t="n">
        <v>0</v>
      </c>
      <c r="L1339" s="14" t="n">
        <v>0.75</v>
      </c>
      <c r="M1339" s="5" t="inlineStr"/>
      <c r="N1339" s="5" t="inlineStr"/>
    </row>
    <row r="1340">
      <c r="A1340" s="13" t="inlineStr">
        <is>
          <t>0004736</t>
        </is>
      </c>
      <c r="B1340" s="5" t="inlineStr">
        <is>
          <t>[0004736] SURE CURE GEL 30G WASFA</t>
        </is>
      </c>
      <c r="C1340" s="5" t="inlineStr">
        <is>
          <t>دواء</t>
        </is>
      </c>
      <c r="D1340" s="13" t="inlineStr">
        <is>
          <t>010628512800085710un</t>
        </is>
      </c>
      <c r="E1340" s="14">
        <f>L1340-K1340</f>
        <v/>
      </c>
      <c r="F1340" s="14" t="n">
        <v>0</v>
      </c>
      <c r="G1340" s="14">
        <f>F1340-E1340</f>
        <v/>
      </c>
      <c r="H1340" s="7" t="n">
        <v>18.05</v>
      </c>
      <c r="I1340" s="7">
        <f>G1340*H1340</f>
        <v/>
      </c>
      <c r="J1340" s="16" t="inlineStr">
        <is>
          <t>لم يُجرد</t>
        </is>
      </c>
      <c r="K1340" s="14" t="n">
        <v>0</v>
      </c>
      <c r="L1340" s="14" t="n">
        <v>3</v>
      </c>
      <c r="M1340" s="5" t="inlineStr"/>
      <c r="N1340" s="5" t="inlineStr"/>
    </row>
    <row r="1341">
      <c r="A1341" s="13" t="inlineStr">
        <is>
          <t>00037309</t>
        </is>
      </c>
      <c r="B1341" s="5" t="inlineStr">
        <is>
          <t>[00037309] DERMAPANTHEN PANTHENOL CREAM 30ML 0301</t>
        </is>
      </c>
      <c r="C1341" s="5" t="inlineStr">
        <is>
          <t>دواء</t>
        </is>
      </c>
      <c r="D1341" s="13" t="inlineStr">
        <is>
          <t>3870132000301</t>
        </is>
      </c>
      <c r="E1341" s="14">
        <f>L1341-K1341</f>
        <v/>
      </c>
      <c r="F1341" s="14" t="n">
        <v>0</v>
      </c>
      <c r="G1341" s="14">
        <f>F1341-E1341</f>
        <v/>
      </c>
      <c r="H1341" s="7" t="n">
        <v>28</v>
      </c>
      <c r="I1341" s="7">
        <f>G1341*H1341</f>
        <v/>
      </c>
      <c r="J1341" s="16" t="inlineStr">
        <is>
          <t>لم يُجرد</t>
        </is>
      </c>
      <c r="K1341" s="14" t="n">
        <v>0</v>
      </c>
      <c r="L1341" s="14" t="n">
        <v>3</v>
      </c>
      <c r="M1341" s="5" t="inlineStr"/>
      <c r="N1341" s="5" t="inlineStr"/>
    </row>
    <row r="1342">
      <c r="A1342" s="13" t="inlineStr">
        <is>
          <t>00012912</t>
        </is>
      </c>
      <c r="B1342" s="5" t="inlineStr">
        <is>
          <t>[00012912] MEDACIN T TOPICAL SOLUT</t>
        </is>
      </c>
      <c r="C1342" s="5" t="inlineStr">
        <is>
          <t>دواء</t>
        </is>
      </c>
      <c r="D1342" s="13" t="inlineStr">
        <is>
          <t>01062911007801051721</t>
        </is>
      </c>
      <c r="E1342" s="14">
        <f>L1342-K1342</f>
        <v/>
      </c>
      <c r="F1342" s="14" t="n">
        <v>0</v>
      </c>
      <c r="G1342" s="14">
        <f>F1342-E1342</f>
        <v/>
      </c>
      <c r="H1342" s="7" t="n">
        <v>19.95</v>
      </c>
      <c r="I1342" s="7">
        <f>G1342*H1342</f>
        <v/>
      </c>
      <c r="J1342" s="16" t="inlineStr">
        <is>
          <t>لم يُجرد</t>
        </is>
      </c>
      <c r="K1342" s="14" t="n">
        <v>0</v>
      </c>
      <c r="L1342" s="14" t="n">
        <v>2</v>
      </c>
      <c r="M1342" s="5" t="inlineStr"/>
      <c r="N1342" s="5" t="inlineStr"/>
    </row>
    <row r="1343">
      <c r="A1343" s="13" t="inlineStr">
        <is>
          <t>0004649</t>
        </is>
      </c>
      <c r="B1343" s="5" t="inlineStr">
        <is>
          <t>[0004649] VOLTAREN 50 MG SUPP *****</t>
        </is>
      </c>
      <c r="C1343" s="5" t="inlineStr">
        <is>
          <t>دواء</t>
        </is>
      </c>
      <c r="D1343" s="13" t="inlineStr">
        <is>
          <t>010761279719880310h6</t>
        </is>
      </c>
      <c r="E1343" s="14">
        <f>L1343-K1343</f>
        <v/>
      </c>
      <c r="F1343" s="14" t="n">
        <v>0</v>
      </c>
      <c r="G1343" s="14">
        <f>F1343-E1343</f>
        <v/>
      </c>
      <c r="H1343" s="7" t="n">
        <v>19.9</v>
      </c>
      <c r="I1343" s="7">
        <f>G1343*H1343</f>
        <v/>
      </c>
      <c r="J1343" s="16" t="inlineStr">
        <is>
          <t>لم يُجرد</t>
        </is>
      </c>
      <c r="K1343" s="14" t="n">
        <v>0</v>
      </c>
      <c r="L1343" s="14" t="n">
        <v>2</v>
      </c>
      <c r="M1343" s="5" t="inlineStr"/>
      <c r="N1343" s="5" t="inlineStr"/>
    </row>
    <row r="1344">
      <c r="A1344" s="13" t="inlineStr">
        <is>
          <t>0004589</t>
        </is>
      </c>
      <c r="B1344" s="5" t="inlineStr">
        <is>
          <t>[0004589] XOLAMOL EYE DROPS 5 ML</t>
        </is>
      </c>
      <c r="C1344" s="5" t="inlineStr">
        <is>
          <t>دواء</t>
        </is>
      </c>
      <c r="D1344" s="13" t="inlineStr"/>
      <c r="E1344" s="14">
        <f>L1344-K1344</f>
        <v/>
      </c>
      <c r="F1344" s="14" t="n">
        <v>0</v>
      </c>
      <c r="G1344" s="14">
        <f>F1344-E1344</f>
        <v/>
      </c>
      <c r="H1344" s="7" t="n">
        <v>39.55</v>
      </c>
      <c r="I1344" s="7">
        <f>G1344*H1344</f>
        <v/>
      </c>
      <c r="J1344" s="16" t="inlineStr">
        <is>
          <t>لم يُجرد</t>
        </is>
      </c>
      <c r="K1344" s="14" t="n">
        <v>0</v>
      </c>
      <c r="L1344" s="14" t="n">
        <v>1</v>
      </c>
      <c r="M1344" s="5" t="inlineStr"/>
      <c r="N1344" s="5" t="inlineStr"/>
    </row>
    <row r="1345">
      <c r="A1345" s="13" t="inlineStr">
        <is>
          <t>00026209</t>
        </is>
      </c>
      <c r="B1345" s="5" t="inlineStr">
        <is>
          <t>[00026209] VITTORIA HCT 5/160/12.5 28 TAB</t>
        </is>
      </c>
      <c r="C1345" s="5" t="inlineStr">
        <is>
          <t>دواء</t>
        </is>
      </c>
      <c r="D1345" s="13" t="inlineStr"/>
      <c r="E1345" s="14">
        <f>L1345-K1345</f>
        <v/>
      </c>
      <c r="F1345" s="14" t="n">
        <v>0</v>
      </c>
      <c r="G1345" s="14">
        <f>F1345-E1345</f>
        <v/>
      </c>
      <c r="H1345" s="7" t="n">
        <v>46.35</v>
      </c>
      <c r="I1345" s="7">
        <f>G1345*H1345</f>
        <v/>
      </c>
      <c r="J1345" s="16" t="inlineStr">
        <is>
          <t>لم يُجرد</t>
        </is>
      </c>
      <c r="K1345" s="14" t="n">
        <v>0</v>
      </c>
      <c r="L1345" s="14" t="n">
        <v>1</v>
      </c>
      <c r="M1345" s="5" t="inlineStr"/>
      <c r="N1345" s="5" t="inlineStr"/>
    </row>
    <row r="1346">
      <c r="A1346" s="13" t="inlineStr">
        <is>
          <t>0005464</t>
        </is>
      </c>
      <c r="B1346" s="5" t="inlineStr">
        <is>
          <t>[0005464] NOVORAPID FLEXPEN 100 U/ML</t>
        </is>
      </c>
      <c r="C1346" s="5" t="inlineStr">
        <is>
          <t>دواء</t>
        </is>
      </c>
      <c r="D1346" s="13" t="inlineStr"/>
      <c r="E1346" s="14">
        <f>L1346-K1346</f>
        <v/>
      </c>
      <c r="F1346" s="14" t="n">
        <v>0</v>
      </c>
      <c r="G1346" s="14">
        <f>F1346-E1346</f>
        <v/>
      </c>
      <c r="H1346" s="7" t="n">
        <v>189</v>
      </c>
      <c r="I1346" s="7">
        <f>G1346*H1346</f>
        <v/>
      </c>
      <c r="J1346" s="16" t="inlineStr">
        <is>
          <t>لم يُجرد</t>
        </is>
      </c>
      <c r="K1346" s="14" t="n">
        <v>0</v>
      </c>
      <c r="L1346" s="14" t="n">
        <v>0.2</v>
      </c>
      <c r="M1346" s="5" t="inlineStr"/>
      <c r="N1346" s="5" t="inlineStr"/>
    </row>
    <row r="1347">
      <c r="A1347" s="13" t="inlineStr">
        <is>
          <t>00034843</t>
        </is>
      </c>
      <c r="B1347" s="5" t="inlineStr">
        <is>
          <t>[00034843] ADZOY 0.1%2.5%GEL 30 GRAM(JJ)</t>
        </is>
      </c>
      <c r="C1347" s="5" t="inlineStr">
        <is>
          <t>دواء</t>
        </is>
      </c>
      <c r="D1347" s="13" t="inlineStr"/>
      <c r="E1347" s="14">
        <f>L1347-K1347</f>
        <v/>
      </c>
      <c r="F1347" s="14" t="n">
        <v>0</v>
      </c>
      <c r="G1347" s="14">
        <f>F1347-E1347</f>
        <v/>
      </c>
      <c r="H1347" s="7" t="n">
        <v>25.55</v>
      </c>
      <c r="I1347" s="7">
        <f>G1347*H1347</f>
        <v/>
      </c>
      <c r="J1347" s="16" t="inlineStr">
        <is>
          <t>لم يُجرد</t>
        </is>
      </c>
      <c r="K1347" s="14" t="n">
        <v>0</v>
      </c>
      <c r="L1347" s="14" t="n">
        <v>2</v>
      </c>
      <c r="M1347" s="5" t="inlineStr"/>
      <c r="N1347" s="5" t="inlineStr"/>
    </row>
    <row r="1348">
      <c r="A1348" s="13" t="inlineStr">
        <is>
          <t>0003535</t>
        </is>
      </c>
      <c r="B1348" s="5" t="inlineStr">
        <is>
          <t>[0003535] GLUCOPHAGE 1000MG 30TAB</t>
        </is>
      </c>
      <c r="C1348" s="5" t="inlineStr">
        <is>
          <t>دواء</t>
        </is>
      </c>
      <c r="D1348" s="13" t="inlineStr">
        <is>
          <t>01040272699134961723</t>
        </is>
      </c>
      <c r="E1348" s="14">
        <f>L1348-K1348</f>
        <v/>
      </c>
      <c r="F1348" s="14" t="n">
        <v>0</v>
      </c>
      <c r="G1348" s="14">
        <f>F1348-E1348</f>
        <v/>
      </c>
      <c r="H1348" s="7" t="n">
        <v>19.85</v>
      </c>
      <c r="I1348" s="7">
        <f>G1348*H1348</f>
        <v/>
      </c>
      <c r="J1348" s="16" t="inlineStr">
        <is>
          <t>لم يُجرد</t>
        </is>
      </c>
      <c r="K1348" s="14" t="n">
        <v>0</v>
      </c>
      <c r="L1348" s="14" t="n">
        <v>2</v>
      </c>
      <c r="M1348" s="5" t="inlineStr"/>
      <c r="N1348" s="5" t="inlineStr"/>
    </row>
    <row r="1349">
      <c r="A1349" s="13" t="inlineStr">
        <is>
          <t>00045048</t>
        </is>
      </c>
      <c r="B1349" s="5" t="inlineStr">
        <is>
          <t>[00045048] ELEVIT PRONATAL 30 TAB</t>
        </is>
      </c>
      <c r="C1349" s="5" t="inlineStr">
        <is>
          <t>دواء</t>
        </is>
      </c>
      <c r="D1349" s="13" t="inlineStr"/>
      <c r="E1349" s="14">
        <f>L1349-K1349</f>
        <v/>
      </c>
      <c r="F1349" s="14" t="n">
        <v>0</v>
      </c>
      <c r="G1349" s="14">
        <f>F1349-E1349</f>
        <v/>
      </c>
      <c r="H1349" s="7" t="n">
        <v>39</v>
      </c>
      <c r="I1349" s="7">
        <f>G1349*H1349</f>
        <v/>
      </c>
      <c r="J1349" s="16" t="inlineStr">
        <is>
          <t>لم يُجرد</t>
        </is>
      </c>
      <c r="K1349" s="14" t="n">
        <v>0</v>
      </c>
      <c r="L1349" s="14" t="n">
        <v>1</v>
      </c>
      <c r="M1349" s="5" t="inlineStr"/>
      <c r="N1349" s="5" t="inlineStr"/>
    </row>
    <row r="1350">
      <c r="A1350" s="13" t="inlineStr">
        <is>
          <t>0005409</t>
        </is>
      </c>
      <c r="B1350" s="5" t="inlineStr">
        <is>
          <t>[0005409] OMCET 10MG 10TAB</t>
        </is>
      </c>
      <c r="C1350" s="5" t="inlineStr">
        <is>
          <t>دواء</t>
        </is>
      </c>
      <c r="D1350" s="13" t="inlineStr">
        <is>
          <t>01062851050014191720</t>
        </is>
      </c>
      <c r="E1350" s="14">
        <f>L1350-K1350</f>
        <v/>
      </c>
      <c r="F1350" s="14" t="n">
        <v>0</v>
      </c>
      <c r="G1350" s="14">
        <f>F1350-E1350</f>
        <v/>
      </c>
      <c r="H1350" s="7" t="n">
        <v>9.25</v>
      </c>
      <c r="I1350" s="7">
        <f>G1350*H1350</f>
        <v/>
      </c>
      <c r="J1350" s="16" t="inlineStr">
        <is>
          <t>لم يُجرد</t>
        </is>
      </c>
      <c r="K1350" s="14" t="n">
        <v>0</v>
      </c>
      <c r="L1350" s="14" t="n">
        <v>5</v>
      </c>
      <c r="M1350" s="5" t="inlineStr"/>
      <c r="N1350" s="5" t="inlineStr"/>
    </row>
    <row r="1351">
      <c r="A1351" s="13" t="inlineStr">
        <is>
          <t>0004116</t>
        </is>
      </c>
      <c r="B1351" s="5" t="inlineStr">
        <is>
          <t>[0004116] CONCOR COR 2.5MG 30TAB</t>
        </is>
      </c>
      <c r="C1351" s="5" t="inlineStr">
        <is>
          <t>دواء</t>
        </is>
      </c>
      <c r="D1351" s="13" t="inlineStr">
        <is>
          <t>04027269913465</t>
        </is>
      </c>
      <c r="E1351" s="14">
        <f>L1351-K1351</f>
        <v/>
      </c>
      <c r="F1351" s="14" t="n">
        <v>0</v>
      </c>
      <c r="G1351" s="14">
        <f>F1351-E1351</f>
        <v/>
      </c>
      <c r="H1351" s="7" t="n">
        <v>19.55</v>
      </c>
      <c r="I1351" s="7">
        <f>G1351*H1351</f>
        <v/>
      </c>
      <c r="J1351" s="16" t="inlineStr">
        <is>
          <t>لم يُجرد</t>
        </is>
      </c>
      <c r="K1351" s="14" t="n">
        <v>0</v>
      </c>
      <c r="L1351" s="14" t="n">
        <v>2</v>
      </c>
      <c r="M1351" s="5" t="inlineStr"/>
      <c r="N1351" s="5" t="inlineStr"/>
    </row>
    <row r="1352">
      <c r="A1352" s="13" t="inlineStr">
        <is>
          <t>0005697</t>
        </is>
      </c>
      <c r="B1352" s="5" t="inlineStr">
        <is>
          <t>[0005697] AVALON EZ-GLIDE LUBRICANT 40ML</t>
        </is>
      </c>
      <c r="C1352" s="5" t="inlineStr">
        <is>
          <t>دواء</t>
        </is>
      </c>
      <c r="D1352" s="13" t="inlineStr">
        <is>
          <t>6284000000480</t>
        </is>
      </c>
      <c r="E1352" s="14">
        <f>L1352-K1352</f>
        <v/>
      </c>
      <c r="F1352" s="14" t="n">
        <v>0</v>
      </c>
      <c r="G1352" s="14">
        <f>F1352-E1352</f>
        <v/>
      </c>
      <c r="H1352" s="7" t="n">
        <v>35</v>
      </c>
      <c r="I1352" s="7">
        <f>G1352*H1352</f>
        <v/>
      </c>
      <c r="J1352" s="16" t="inlineStr">
        <is>
          <t>لم يُجرد</t>
        </is>
      </c>
      <c r="K1352" s="14" t="n">
        <v>0</v>
      </c>
      <c r="L1352" s="14" t="n">
        <v>2</v>
      </c>
      <c r="M1352" s="5" t="inlineStr"/>
      <c r="N1352" s="5" t="inlineStr"/>
    </row>
    <row r="1353">
      <c r="A1353" s="13" t="inlineStr">
        <is>
          <t>00018590</t>
        </is>
      </c>
      <c r="B1353" s="5" t="inlineStr">
        <is>
          <t>[00018590] FLECTOR EB. GRANULES SACHETS</t>
        </is>
      </c>
      <c r="C1353" s="5" t="inlineStr">
        <is>
          <t>دواء</t>
        </is>
      </c>
      <c r="D1353" s="13" t="inlineStr"/>
      <c r="E1353" s="14">
        <f>L1353-K1353</f>
        <v/>
      </c>
      <c r="F1353" s="14" t="n">
        <v>0</v>
      </c>
      <c r="G1353" s="14">
        <f>F1353-E1353</f>
        <v/>
      </c>
      <c r="H1353" s="7" t="n">
        <v>40</v>
      </c>
      <c r="I1353" s="7">
        <f>G1353*H1353</f>
        <v/>
      </c>
      <c r="J1353" s="16" t="inlineStr">
        <is>
          <t>لم يُجرد</t>
        </is>
      </c>
      <c r="K1353" s="14" t="n">
        <v>0</v>
      </c>
      <c r="L1353" s="14" t="n">
        <v>1</v>
      </c>
      <c r="M1353" s="5" t="inlineStr"/>
      <c r="N1353" s="5" t="inlineStr"/>
    </row>
    <row r="1354">
      <c r="A1354" s="13" t="inlineStr">
        <is>
          <t>00037307</t>
        </is>
      </c>
      <c r="B1354" s="5" t="inlineStr">
        <is>
          <t>[00037307] BIOCAPS 3055 PLUS 30 CAPS ECKHART</t>
        </is>
      </c>
      <c r="C1354" s="5" t="inlineStr">
        <is>
          <t>دواء</t>
        </is>
      </c>
      <c r="D1354" s="13" t="inlineStr">
        <is>
          <t>714654883055</t>
        </is>
      </c>
      <c r="E1354" s="14">
        <f>L1354-K1354</f>
        <v/>
      </c>
      <c r="F1354" s="14" t="n">
        <v>0</v>
      </c>
      <c r="G1354" s="14">
        <f>F1354-E1354</f>
        <v/>
      </c>
      <c r="H1354" s="7" t="n">
        <v>49</v>
      </c>
      <c r="I1354" s="7">
        <f>G1354*H1354</f>
        <v/>
      </c>
      <c r="J1354" s="16" t="inlineStr">
        <is>
          <t>لم يُجرد</t>
        </is>
      </c>
      <c r="K1354" s="14" t="n">
        <v>0</v>
      </c>
      <c r="L1354" s="14" t="n">
        <v>1</v>
      </c>
      <c r="M1354" s="5" t="inlineStr"/>
      <c r="N1354" s="5" t="inlineStr"/>
    </row>
    <row r="1355">
      <c r="A1355" s="13" t="inlineStr">
        <is>
          <t>00031645</t>
        </is>
      </c>
      <c r="B1355" s="5" t="inlineStr">
        <is>
          <t>[00031645] VITAMIN B12 500MG 100TAB NHS 0404</t>
        </is>
      </c>
      <c r="C1355" s="5" t="inlineStr">
        <is>
          <t>دواء</t>
        </is>
      </c>
      <c r="D1355" s="13" t="inlineStr">
        <is>
          <t>6286127000404</t>
        </is>
      </c>
      <c r="E1355" s="14">
        <f>L1355-K1355</f>
        <v/>
      </c>
      <c r="F1355" s="14" t="n">
        <v>0</v>
      </c>
      <c r="G1355" s="14">
        <f>F1355-E1355</f>
        <v/>
      </c>
      <c r="H1355" s="7" t="n">
        <v>60</v>
      </c>
      <c r="I1355" s="7">
        <f>G1355*H1355</f>
        <v/>
      </c>
      <c r="J1355" s="16" t="inlineStr">
        <is>
          <t>لم يُجرد</t>
        </is>
      </c>
      <c r="K1355" s="14" t="n">
        <v>0</v>
      </c>
      <c r="L1355" s="14" t="n">
        <v>1</v>
      </c>
      <c r="M1355" s="5" t="inlineStr"/>
      <c r="N1355" s="5" t="inlineStr"/>
    </row>
    <row r="1356">
      <c r="A1356" s="13" t="inlineStr">
        <is>
          <t>0005007</t>
        </is>
      </c>
      <c r="B1356" s="5" t="inlineStr">
        <is>
          <t>[0005007] SCOPINAL 20MG 5 AMP</t>
        </is>
      </c>
      <c r="C1356" s="5" t="inlineStr">
        <is>
          <t>دواء</t>
        </is>
      </c>
      <c r="D1356" s="13" t="inlineStr">
        <is>
          <t>01062911000879691719</t>
        </is>
      </c>
      <c r="E1356" s="14">
        <f>L1356-K1356</f>
        <v/>
      </c>
      <c r="F1356" s="14" t="n">
        <v>0</v>
      </c>
      <c r="G1356" s="14">
        <f>F1356-E1356</f>
        <v/>
      </c>
      <c r="H1356" s="7" t="n">
        <v>12.7</v>
      </c>
      <c r="I1356" s="7">
        <f>G1356*H1356</f>
        <v/>
      </c>
      <c r="J1356" s="16" t="inlineStr">
        <is>
          <t>لم يُجرد</t>
        </is>
      </c>
      <c r="K1356" s="14" t="n">
        <v>0</v>
      </c>
      <c r="L1356" s="14" t="n">
        <v>3</v>
      </c>
      <c r="M1356" s="5" t="inlineStr"/>
      <c r="N1356" s="5" t="inlineStr"/>
    </row>
    <row r="1357">
      <c r="A1357" s="13" t="inlineStr">
        <is>
          <t>0005069</t>
        </is>
      </c>
      <c r="B1357" s="5" t="inlineStr">
        <is>
          <t>[0005069] RHINATHIOL PROMATHAZINE SYRUP</t>
        </is>
      </c>
      <c r="C1357" s="5" t="inlineStr">
        <is>
          <t>دواء</t>
        </is>
      </c>
      <c r="D1357" s="13" t="inlineStr">
        <is>
          <t>010358291003814621a0</t>
        </is>
      </c>
      <c r="E1357" s="14">
        <f>L1357-K1357</f>
        <v/>
      </c>
      <c r="F1357" s="14" t="n">
        <v>0</v>
      </c>
      <c r="G1357" s="14">
        <f>F1357-E1357</f>
        <v/>
      </c>
      <c r="H1357" s="7" t="n">
        <v>10.1</v>
      </c>
      <c r="I1357" s="7">
        <f>G1357*H1357</f>
        <v/>
      </c>
      <c r="J1357" s="16" t="inlineStr">
        <is>
          <t>لم يُجرد</t>
        </is>
      </c>
      <c r="K1357" s="14" t="n">
        <v>0</v>
      </c>
      <c r="L1357" s="14" t="n">
        <v>4</v>
      </c>
      <c r="M1357" s="5" t="inlineStr"/>
      <c r="N1357" s="5" t="inlineStr"/>
    </row>
    <row r="1358">
      <c r="A1358" s="13" t="inlineStr">
        <is>
          <t>00030861</t>
        </is>
      </c>
      <c r="B1358" s="5" t="inlineStr">
        <is>
          <t>[00030861] MARNYS FERROBINE SYP 250ML</t>
        </is>
      </c>
      <c r="C1358" s="5" t="inlineStr">
        <is>
          <t>دواء</t>
        </is>
      </c>
      <c r="D1358" s="13" t="inlineStr">
        <is>
          <t>8410885081520</t>
        </is>
      </c>
      <c r="E1358" s="14">
        <f>L1358-K1358</f>
        <v/>
      </c>
      <c r="F1358" s="14" t="n">
        <v>0</v>
      </c>
      <c r="G1358" s="14">
        <f>F1358-E1358</f>
        <v/>
      </c>
      <c r="H1358" s="7" t="n">
        <v>20.7</v>
      </c>
      <c r="I1358" s="7">
        <f>G1358*H1358</f>
        <v/>
      </c>
      <c r="J1358" s="16" t="inlineStr">
        <is>
          <t>لم يُجرد</t>
        </is>
      </c>
      <c r="K1358" s="14" t="n">
        <v>0</v>
      </c>
      <c r="L1358" s="14" t="n">
        <v>2</v>
      </c>
      <c r="M1358" s="5" t="inlineStr"/>
      <c r="N1358" s="5" t="inlineStr"/>
    </row>
    <row r="1359">
      <c r="A1359" s="13" t="inlineStr">
        <is>
          <t>0003090</t>
        </is>
      </c>
      <c r="B1359" s="5" t="inlineStr">
        <is>
          <t>[0003090] DEFONEX AQUEOUS SPRAY 120M</t>
        </is>
      </c>
      <c r="C1359" s="5" t="inlineStr">
        <is>
          <t>دواء</t>
        </is>
      </c>
      <c r="D1359" s="13" t="inlineStr">
        <is>
          <t>01062811470025442100</t>
        </is>
      </c>
      <c r="E1359" s="14">
        <f>L1359-K1359</f>
        <v/>
      </c>
      <c r="F1359" s="14" t="n">
        <v>0</v>
      </c>
      <c r="G1359" s="14">
        <f>F1359-E1359</f>
        <v/>
      </c>
      <c r="H1359" s="7" t="n">
        <v>37.45</v>
      </c>
      <c r="I1359" s="7">
        <f>G1359*H1359</f>
        <v/>
      </c>
      <c r="J1359" s="16" t="inlineStr">
        <is>
          <t>لم يُجرد</t>
        </is>
      </c>
      <c r="K1359" s="14" t="n">
        <v>0</v>
      </c>
      <c r="L1359" s="14" t="n">
        <v>1</v>
      </c>
      <c r="M1359" s="5" t="inlineStr"/>
      <c r="N1359" s="5" t="inlineStr"/>
    </row>
    <row r="1360">
      <c r="A1360" s="13" t="inlineStr">
        <is>
          <t>0004137</t>
        </is>
      </c>
      <c r="B1360" s="5" t="inlineStr">
        <is>
          <t>[0004137] COXICAM 15MG 10 TAB</t>
        </is>
      </c>
      <c r="C1360" s="5" t="inlineStr">
        <is>
          <t>دواء</t>
        </is>
      </c>
      <c r="D1360" s="13" t="inlineStr">
        <is>
          <t>06281080011009</t>
        </is>
      </c>
      <c r="E1360" s="14">
        <f>L1360-K1360</f>
        <v/>
      </c>
      <c r="F1360" s="14" t="n">
        <v>0</v>
      </c>
      <c r="G1360" s="14">
        <f>F1360-E1360</f>
        <v/>
      </c>
      <c r="H1360" s="7" t="n">
        <v>13.3</v>
      </c>
      <c r="I1360" s="7">
        <f>G1360*H1360</f>
        <v/>
      </c>
      <c r="J1360" s="16" t="inlineStr">
        <is>
          <t>لم يُجرد</t>
        </is>
      </c>
      <c r="K1360" s="14" t="n">
        <v>0</v>
      </c>
      <c r="L1360" s="14" t="n">
        <v>5</v>
      </c>
      <c r="M1360" s="5" t="inlineStr"/>
      <c r="N1360" s="5" t="inlineStr"/>
    </row>
    <row r="1361">
      <c r="A1361" s="13" t="inlineStr">
        <is>
          <t>00028693</t>
        </is>
      </c>
      <c r="B1361" s="5" t="inlineStr">
        <is>
          <t>[00028693] PROF COLD &amp; FLU  20 TAB</t>
        </is>
      </c>
      <c r="C1361" s="5" t="inlineStr">
        <is>
          <t>دواء</t>
        </is>
      </c>
      <c r="D1361" s="13" t="inlineStr"/>
      <c r="E1361" s="14">
        <f>L1361-K1361</f>
        <v/>
      </c>
      <c r="F1361" s="14" t="n">
        <v>0</v>
      </c>
      <c r="G1361" s="14">
        <f>F1361-E1361</f>
        <v/>
      </c>
      <c r="H1361" s="7" t="n">
        <v>12.45</v>
      </c>
      <c r="I1361" s="7">
        <f>G1361*H1361</f>
        <v/>
      </c>
      <c r="J1361" s="16" t="inlineStr">
        <is>
          <t>لم يُجرد</t>
        </is>
      </c>
      <c r="K1361" s="14" t="n">
        <v>0</v>
      </c>
      <c r="L1361" s="14" t="n">
        <v>3</v>
      </c>
      <c r="M1361" s="5" t="inlineStr"/>
      <c r="N1361" s="5" t="inlineStr"/>
    </row>
    <row r="1362">
      <c r="A1362" s="13" t="inlineStr">
        <is>
          <t>00014931</t>
        </is>
      </c>
      <c r="B1362" s="5" t="inlineStr">
        <is>
          <t>[00014931] NOSTIFIX 05 MG 2 TAB</t>
        </is>
      </c>
      <c r="C1362" s="5" t="inlineStr">
        <is>
          <t>دواء</t>
        </is>
      </c>
      <c r="D1362" s="13" t="inlineStr">
        <is>
          <t>06285101004636</t>
        </is>
      </c>
      <c r="E1362" s="14">
        <f>L1362-K1362</f>
        <v/>
      </c>
      <c r="F1362" s="14" t="n">
        <v>0</v>
      </c>
      <c r="G1362" s="14">
        <f>F1362-E1362</f>
        <v/>
      </c>
      <c r="H1362" s="7" t="n">
        <v>37.25</v>
      </c>
      <c r="I1362" s="7">
        <f>G1362*H1362</f>
        <v/>
      </c>
      <c r="J1362" s="16" t="inlineStr">
        <is>
          <t>لم يُجرد</t>
        </is>
      </c>
      <c r="K1362" s="14" t="n">
        <v>0</v>
      </c>
      <c r="L1362" s="14" t="n">
        <v>1</v>
      </c>
      <c r="M1362" s="5" t="inlineStr"/>
      <c r="N1362" s="5" t="inlineStr"/>
    </row>
    <row r="1363">
      <c r="A1363" s="13" t="inlineStr">
        <is>
          <t>0004052</t>
        </is>
      </c>
      <c r="B1363" s="5" t="inlineStr">
        <is>
          <t>[0004052] ELICASAL OINTMENT 30 GM WASFA</t>
        </is>
      </c>
      <c r="C1363" s="5" t="inlineStr">
        <is>
          <t>دواء</t>
        </is>
      </c>
      <c r="D1363" s="13" t="inlineStr">
        <is>
          <t>06285128000369</t>
        </is>
      </c>
      <c r="E1363" s="14">
        <f>L1363-K1363</f>
        <v/>
      </c>
      <c r="F1363" s="14" t="n">
        <v>0</v>
      </c>
      <c r="G1363" s="14">
        <f>F1363-E1363</f>
        <v/>
      </c>
      <c r="H1363" s="7" t="n">
        <v>25.55</v>
      </c>
      <c r="I1363" s="7">
        <f>G1363*H1363</f>
        <v/>
      </c>
      <c r="J1363" s="16" t="inlineStr">
        <is>
          <t>لم يُجرد</t>
        </is>
      </c>
      <c r="K1363" s="14" t="n">
        <v>0</v>
      </c>
      <c r="L1363" s="14" t="n">
        <v>2</v>
      </c>
      <c r="M1363" s="5" t="inlineStr"/>
      <c r="N1363" s="5" t="inlineStr"/>
    </row>
    <row r="1364">
      <c r="A1364" s="13" t="inlineStr">
        <is>
          <t>0005414</t>
        </is>
      </c>
      <c r="B1364" s="5" t="inlineStr">
        <is>
          <t>[0005414] OLFEN 50 LAC TAB</t>
        </is>
      </c>
      <c r="C1364" s="5" t="inlineStr">
        <is>
          <t>دواء</t>
        </is>
      </c>
      <c r="D1364" s="13" t="inlineStr">
        <is>
          <t>01076401530806601722</t>
        </is>
      </c>
      <c r="E1364" s="14">
        <f>L1364-K1364</f>
        <v/>
      </c>
      <c r="F1364" s="14" t="n">
        <v>0</v>
      </c>
      <c r="G1364" s="14">
        <f>F1364-E1364</f>
        <v/>
      </c>
      <c r="H1364" s="7" t="n">
        <v>12.4</v>
      </c>
      <c r="I1364" s="7">
        <f>G1364*H1364</f>
        <v/>
      </c>
      <c r="J1364" s="16" t="inlineStr">
        <is>
          <t>لم يُجرد</t>
        </is>
      </c>
      <c r="K1364" s="14" t="n">
        <v>0</v>
      </c>
      <c r="L1364" s="14" t="n">
        <v>3</v>
      </c>
      <c r="M1364" s="5" t="inlineStr"/>
      <c r="N1364" s="5" t="inlineStr"/>
    </row>
    <row r="1365">
      <c r="A1365" s="13" t="inlineStr">
        <is>
          <t>0005006</t>
        </is>
      </c>
      <c r="B1365" s="5" t="inlineStr">
        <is>
          <t>[0005006] SCOPINAL 10MG 20 TAB</t>
        </is>
      </c>
      <c r="C1365" s="5" t="inlineStr">
        <is>
          <t>دواء</t>
        </is>
      </c>
      <c r="D1365" s="13" t="inlineStr">
        <is>
          <t>06291100080953</t>
        </is>
      </c>
      <c r="E1365" s="14">
        <f>L1365-K1365</f>
        <v/>
      </c>
      <c r="F1365" s="14" t="n">
        <v>0</v>
      </c>
      <c r="G1365" s="14">
        <f>F1365-E1365</f>
        <v/>
      </c>
      <c r="H1365" s="7" t="n">
        <v>7.4</v>
      </c>
      <c r="I1365" s="7">
        <f>G1365*H1365</f>
        <v/>
      </c>
      <c r="J1365" s="16" t="inlineStr">
        <is>
          <t>لم يُجرد</t>
        </is>
      </c>
      <c r="K1365" s="14" t="n">
        <v>0</v>
      </c>
      <c r="L1365" s="14" t="n">
        <v>5</v>
      </c>
      <c r="M1365" s="5" t="inlineStr"/>
      <c r="N1365" s="5" t="inlineStr"/>
    </row>
    <row r="1366">
      <c r="A1366" s="13" t="inlineStr">
        <is>
          <t>0004290</t>
        </is>
      </c>
      <c r="B1366" s="5" t="inlineStr">
        <is>
          <t>[0004290] CLARITT 500MG 14TAB</t>
        </is>
      </c>
      <c r="C1366" s="5" t="inlineStr">
        <is>
          <t>دواء</t>
        </is>
      </c>
      <c r="D1366" s="13" t="inlineStr"/>
      <c r="E1366" s="14">
        <f>L1366-K1366</f>
        <v/>
      </c>
      <c r="F1366" s="14" t="n">
        <v>0</v>
      </c>
      <c r="G1366" s="14">
        <f>F1366-E1366</f>
        <v/>
      </c>
      <c r="H1366" s="7" t="n">
        <v>70</v>
      </c>
      <c r="I1366" s="7">
        <f>G1366*H1366</f>
        <v/>
      </c>
      <c r="J1366" s="16" t="inlineStr">
        <is>
          <t>لم يُجرد</t>
        </is>
      </c>
      <c r="K1366" s="14" t="n">
        <v>0</v>
      </c>
      <c r="L1366" s="14" t="n">
        <v>1</v>
      </c>
      <c r="M1366" s="5" t="inlineStr"/>
      <c r="N1366" s="5" t="inlineStr"/>
    </row>
    <row r="1367">
      <c r="A1367" s="13" t="inlineStr">
        <is>
          <t>0005098</t>
        </is>
      </c>
      <c r="B1367" s="5" t="inlineStr">
        <is>
          <t>[0005098] RIAZOLE 500MG 20TAB</t>
        </is>
      </c>
      <c r="C1367" s="5" t="inlineStr">
        <is>
          <t>دواء</t>
        </is>
      </c>
      <c r="D1367" s="13" t="inlineStr"/>
      <c r="E1367" s="14">
        <f>L1367-K1367</f>
        <v/>
      </c>
      <c r="F1367" s="14" t="n">
        <v>0</v>
      </c>
      <c r="G1367" s="14">
        <f>F1367-E1367</f>
        <v/>
      </c>
      <c r="H1367" s="7" t="n">
        <v>19.9</v>
      </c>
      <c r="I1367" s="7">
        <f>G1367*H1367</f>
        <v/>
      </c>
      <c r="J1367" s="16" t="inlineStr">
        <is>
          <t>لم يُجرد</t>
        </is>
      </c>
      <c r="K1367" s="14" t="n">
        <v>0</v>
      </c>
      <c r="L1367" s="14" t="n">
        <v>3</v>
      </c>
      <c r="M1367" s="5" t="inlineStr"/>
      <c r="N1367" s="5" t="inlineStr"/>
    </row>
    <row r="1368">
      <c r="A1368" s="13" t="inlineStr">
        <is>
          <t>0005205</t>
        </is>
      </c>
      <c r="B1368" s="5" t="inlineStr">
        <is>
          <t>[0005205] REPARIL N GEL 40GM</t>
        </is>
      </c>
      <c r="C1368" s="5" t="inlineStr">
        <is>
          <t>دواء</t>
        </is>
      </c>
      <c r="D1368" s="13" t="inlineStr">
        <is>
          <t>01040300410018851719</t>
        </is>
      </c>
      <c r="E1368" s="14">
        <f>L1368-K1368</f>
        <v/>
      </c>
      <c r="F1368" s="14" t="n">
        <v>0</v>
      </c>
      <c r="G1368" s="14">
        <f>F1368-E1368</f>
        <v/>
      </c>
      <c r="H1368" s="7" t="n">
        <v>18.45</v>
      </c>
      <c r="I1368" s="7">
        <f>G1368*H1368</f>
        <v/>
      </c>
      <c r="J1368" s="16" t="inlineStr">
        <is>
          <t>لم يُجرد</t>
        </is>
      </c>
      <c r="K1368" s="14" t="n">
        <v>0</v>
      </c>
      <c r="L1368" s="14" t="n">
        <v>2</v>
      </c>
      <c r="M1368" s="5" t="inlineStr"/>
      <c r="N1368" s="5" t="inlineStr"/>
    </row>
    <row r="1369">
      <c r="A1369" s="13" t="inlineStr">
        <is>
          <t>00020356</t>
        </is>
      </c>
      <c r="B1369" s="5" t="inlineStr">
        <is>
          <t>[00020356] HYDRA SOFT MOIST CREAM 100ML</t>
        </is>
      </c>
      <c r="C1369" s="5" t="inlineStr">
        <is>
          <t>دواء</t>
        </is>
      </c>
      <c r="D1369" s="13" t="inlineStr">
        <is>
          <t>6287002334607</t>
        </is>
      </c>
      <c r="E1369" s="14">
        <f>L1369-K1369</f>
        <v/>
      </c>
      <c r="F1369" s="14" t="n">
        <v>0</v>
      </c>
      <c r="G1369" s="14">
        <f>F1369-E1369</f>
        <v/>
      </c>
      <c r="H1369" s="7" t="n">
        <v>38</v>
      </c>
      <c r="I1369" s="7">
        <f>G1369*H1369</f>
        <v/>
      </c>
      <c r="J1369" s="16" t="inlineStr">
        <is>
          <t>لم يُجرد</t>
        </is>
      </c>
      <c r="K1369" s="14" t="n">
        <v>0</v>
      </c>
      <c r="L1369" s="14" t="n">
        <v>2</v>
      </c>
      <c r="M1369" s="5" t="inlineStr"/>
      <c r="N1369" s="5" t="inlineStr"/>
    </row>
    <row r="1370">
      <c r="A1370" s="13" t="inlineStr">
        <is>
          <t>00045112</t>
        </is>
      </c>
      <c r="B1370" s="5" t="inlineStr">
        <is>
          <t>[00045112] HYDRA SOFT  FACE CREAM 100ML 8636</t>
        </is>
      </c>
      <c r="C1370" s="5" t="inlineStr">
        <is>
          <t>دواء</t>
        </is>
      </c>
      <c r="D1370" s="13" t="inlineStr">
        <is>
          <t>6287002338636</t>
        </is>
      </c>
      <c r="E1370" s="14">
        <f>L1370-K1370</f>
        <v/>
      </c>
      <c r="F1370" s="14" t="n">
        <v>0</v>
      </c>
      <c r="G1370" s="14">
        <f>F1370-E1370</f>
        <v/>
      </c>
      <c r="H1370" s="7" t="n">
        <v>38</v>
      </c>
      <c r="I1370" s="7">
        <f>G1370*H1370</f>
        <v/>
      </c>
      <c r="J1370" s="16" t="inlineStr">
        <is>
          <t>لم يُجرد</t>
        </is>
      </c>
      <c r="K1370" s="14" t="n">
        <v>0</v>
      </c>
      <c r="L1370" s="14" t="n">
        <v>2</v>
      </c>
      <c r="M1370" s="5" t="inlineStr"/>
      <c r="N1370" s="5" t="inlineStr"/>
    </row>
    <row r="1371">
      <c r="A1371" s="13" t="inlineStr">
        <is>
          <t>0004129</t>
        </is>
      </c>
      <c r="B1371" s="5" t="inlineStr">
        <is>
          <t>[0004129] ADVANTAN CREAM 20GM</t>
        </is>
      </c>
      <c r="C1371" s="5" t="inlineStr">
        <is>
          <t>دواء</t>
        </is>
      </c>
      <c r="D1371" s="13" t="inlineStr">
        <is>
          <t>01062850740006591718</t>
        </is>
      </c>
      <c r="E1371" s="14">
        <f>L1371-K1371</f>
        <v/>
      </c>
      <c r="F1371" s="14" t="n">
        <v>0</v>
      </c>
      <c r="G1371" s="14">
        <f>F1371-E1371</f>
        <v/>
      </c>
      <c r="H1371" s="7" t="n">
        <v>18.2</v>
      </c>
      <c r="I1371" s="7">
        <f>G1371*H1371</f>
        <v/>
      </c>
      <c r="J1371" s="16" t="inlineStr">
        <is>
          <t>لم يُجرد</t>
        </is>
      </c>
      <c r="K1371" s="14" t="n">
        <v>0</v>
      </c>
      <c r="L1371" s="14" t="n">
        <v>2</v>
      </c>
      <c r="M1371" s="5" t="inlineStr"/>
      <c r="N1371" s="5" t="inlineStr"/>
    </row>
    <row r="1372">
      <c r="A1372" s="13" t="inlineStr">
        <is>
          <t>0004646</t>
        </is>
      </c>
      <c r="B1372" s="5" t="inlineStr">
        <is>
          <t>[0004646] VOLTAREN 100 MG SUPP 5</t>
        </is>
      </c>
      <c r="C1372" s="5" t="inlineStr">
        <is>
          <t>دواء</t>
        </is>
      </c>
      <c r="D1372" s="13" t="inlineStr"/>
      <c r="E1372" s="14">
        <f>L1372-K1372</f>
        <v/>
      </c>
      <c r="F1372" s="14" t="n">
        <v>0</v>
      </c>
      <c r="G1372" s="14">
        <f>F1372-E1372</f>
        <v/>
      </c>
      <c r="H1372" s="7" t="n">
        <v>18.2</v>
      </c>
      <c r="I1372" s="7">
        <f>G1372*H1372</f>
        <v/>
      </c>
      <c r="J1372" s="16" t="inlineStr">
        <is>
          <t>لم يُجرد</t>
        </is>
      </c>
      <c r="K1372" s="14" t="n">
        <v>0</v>
      </c>
      <c r="L1372" s="14" t="n">
        <v>2</v>
      </c>
      <c r="M1372" s="5" t="inlineStr"/>
      <c r="N1372" s="5" t="inlineStr"/>
    </row>
    <row r="1373">
      <c r="A1373" s="13" t="inlineStr">
        <is>
          <t>00037804</t>
        </is>
      </c>
      <c r="B1373" s="5" t="inlineStr">
        <is>
          <t>[00037804] DAILY D3 30ML DROPS 1279 SEC</t>
        </is>
      </c>
      <c r="C1373" s="5" t="inlineStr">
        <is>
          <t>دواء</t>
        </is>
      </c>
      <c r="D1373" s="13" t="inlineStr">
        <is>
          <t>795697001279</t>
        </is>
      </c>
      <c r="E1373" s="14">
        <f>L1373-K1373</f>
        <v/>
      </c>
      <c r="F1373" s="14" t="n">
        <v>0</v>
      </c>
      <c r="G1373" s="14">
        <f>F1373-E1373</f>
        <v/>
      </c>
      <c r="H1373" s="7" t="n">
        <v>53</v>
      </c>
      <c r="I1373" s="7">
        <f>G1373*H1373</f>
        <v/>
      </c>
      <c r="J1373" s="16" t="inlineStr">
        <is>
          <t>لم يُجرد</t>
        </is>
      </c>
      <c r="K1373" s="14" t="n">
        <v>0</v>
      </c>
      <c r="L1373" s="14" t="n">
        <v>1</v>
      </c>
      <c r="M1373" s="5" t="inlineStr"/>
      <c r="N1373" s="5" t="inlineStr"/>
    </row>
    <row r="1374">
      <c r="A1374" s="13" t="inlineStr">
        <is>
          <t>0004074</t>
        </is>
      </c>
      <c r="B1374" s="5" t="inlineStr">
        <is>
          <t>[0004074] CO TABUVAN 160/25MG 30TAB</t>
        </is>
      </c>
      <c r="C1374" s="5" t="inlineStr">
        <is>
          <t>دواء</t>
        </is>
      </c>
      <c r="D1374" s="13" t="inlineStr">
        <is>
          <t>6281102232740</t>
        </is>
      </c>
      <c r="E1374" s="14">
        <f>L1374-K1374</f>
        <v/>
      </c>
      <c r="F1374" s="14" t="n">
        <v>0</v>
      </c>
      <c r="G1374" s="14">
        <f>F1374-E1374</f>
        <v/>
      </c>
      <c r="H1374" s="7" t="n">
        <v>36.1</v>
      </c>
      <c r="I1374" s="7">
        <f>G1374*H1374</f>
        <v/>
      </c>
      <c r="J1374" s="16" t="inlineStr">
        <is>
          <t>لم يُجرد</t>
        </is>
      </c>
      <c r="K1374" s="14" t="n">
        <v>0</v>
      </c>
      <c r="L1374" s="14" t="n">
        <v>1</v>
      </c>
      <c r="M1374" s="5" t="inlineStr"/>
      <c r="N1374" s="5" t="inlineStr"/>
    </row>
    <row r="1375">
      <c r="A1375" s="13" t="inlineStr">
        <is>
          <t>00045985</t>
        </is>
      </c>
      <c r="B1375" s="5" t="inlineStr">
        <is>
          <t>[00045985] CIPROXEN 250 MG 10TAB WASFA</t>
        </is>
      </c>
      <c r="C1375" s="5" t="inlineStr">
        <is>
          <t>دواء</t>
        </is>
      </c>
      <c r="D1375" s="13" t="inlineStr">
        <is>
          <t>06285128000239</t>
        </is>
      </c>
      <c r="E1375" s="14">
        <f>L1375-K1375</f>
        <v/>
      </c>
      <c r="F1375" s="14" t="n">
        <v>0</v>
      </c>
      <c r="G1375" s="14">
        <f>F1375-E1375</f>
        <v/>
      </c>
      <c r="H1375" s="7" t="n">
        <v>30.65</v>
      </c>
      <c r="I1375" s="7">
        <f>G1375*H1375</f>
        <v/>
      </c>
      <c r="J1375" s="16" t="inlineStr">
        <is>
          <t>لم يُجرد</t>
        </is>
      </c>
      <c r="K1375" s="14" t="n">
        <v>0</v>
      </c>
      <c r="L1375" s="14" t="n">
        <v>2</v>
      </c>
      <c r="M1375" s="5" t="inlineStr"/>
      <c r="N1375" s="5" t="inlineStr"/>
    </row>
    <row r="1376">
      <c r="A1376" s="13" t="inlineStr">
        <is>
          <t>0005744</t>
        </is>
      </c>
      <c r="B1376" s="5" t="inlineStr">
        <is>
          <t>[0005744] LIVOSTIN4ML EYE DROPS</t>
        </is>
      </c>
      <c r="C1376" s="5" t="inlineStr">
        <is>
          <t>دواء</t>
        </is>
      </c>
      <c r="D1376" s="13" t="inlineStr"/>
      <c r="E1376" s="14">
        <f>L1376-K1376</f>
        <v/>
      </c>
      <c r="F1376" s="14" t="n">
        <v>0</v>
      </c>
      <c r="G1376" s="14">
        <f>F1376-E1376</f>
        <v/>
      </c>
      <c r="H1376" s="7" t="n">
        <v>36</v>
      </c>
      <c r="I1376" s="7">
        <f>G1376*H1376</f>
        <v/>
      </c>
      <c r="J1376" s="16" t="inlineStr">
        <is>
          <t>لم يُجرد</t>
        </is>
      </c>
      <c r="K1376" s="14" t="n">
        <v>0</v>
      </c>
      <c r="L1376" s="14" t="n">
        <v>1</v>
      </c>
      <c r="M1376" s="5" t="inlineStr"/>
      <c r="N1376" s="5" t="inlineStr"/>
    </row>
    <row r="1377">
      <c r="A1377" s="13" t="inlineStr">
        <is>
          <t>00047609</t>
        </is>
      </c>
      <c r="B1377" s="5" t="inlineStr">
        <is>
          <t>[00047609] FLUTAB 30 TAB NEW</t>
        </is>
      </c>
      <c r="C1377" s="5" t="inlineStr">
        <is>
          <t>دواء</t>
        </is>
      </c>
      <c r="D1377" s="13" t="inlineStr"/>
      <c r="E1377" s="14">
        <f>L1377-K1377</f>
        <v/>
      </c>
      <c r="F1377" s="14" t="n">
        <v>0</v>
      </c>
      <c r="G1377" s="14">
        <f>F1377-E1377</f>
        <v/>
      </c>
      <c r="H1377" s="7" t="n">
        <v>14.85</v>
      </c>
      <c r="I1377" s="7">
        <f>G1377*H1377</f>
        <v/>
      </c>
      <c r="J1377" s="16" t="inlineStr">
        <is>
          <t>لم يُجرد</t>
        </is>
      </c>
      <c r="K1377" s="14" t="n">
        <v>0</v>
      </c>
      <c r="L1377" s="14" t="n">
        <v>3</v>
      </c>
      <c r="M1377" s="5" t="inlineStr"/>
      <c r="N1377" s="5" t="inlineStr"/>
    </row>
    <row r="1378">
      <c r="A1378" s="13" t="inlineStr">
        <is>
          <t>00029250</t>
        </is>
      </c>
      <c r="B1378" s="5" t="inlineStr">
        <is>
          <t>[00029250] AVORES 400 MG 7-TAB</t>
        </is>
      </c>
      <c r="C1378" s="5" t="inlineStr">
        <is>
          <t>دواء</t>
        </is>
      </c>
      <c r="D1378" s="13" t="inlineStr"/>
      <c r="E1378" s="14">
        <f>L1378-K1378</f>
        <v/>
      </c>
      <c r="F1378" s="14" t="n">
        <v>0</v>
      </c>
      <c r="G1378" s="14">
        <f>F1378-E1378</f>
        <v/>
      </c>
      <c r="H1378" s="7" t="n">
        <v>58.6</v>
      </c>
      <c r="I1378" s="7">
        <f>G1378*H1378</f>
        <v/>
      </c>
      <c r="J1378" s="16" t="inlineStr">
        <is>
          <t>لم يُجرد</t>
        </is>
      </c>
      <c r="K1378" s="14" t="n">
        <v>0</v>
      </c>
      <c r="L1378" s="14" t="n">
        <v>1</v>
      </c>
      <c r="M1378" s="5" t="inlineStr"/>
      <c r="N1378" s="5" t="inlineStr"/>
    </row>
    <row r="1379">
      <c r="A1379" s="13" t="inlineStr">
        <is>
          <t>00017659</t>
        </is>
      </c>
      <c r="B1379" s="5" t="inlineStr">
        <is>
          <t>[00017659] TEDO 20 MG 8-TAB</t>
        </is>
      </c>
      <c r="C1379" s="5" t="inlineStr">
        <is>
          <t>دواء</t>
        </is>
      </c>
      <c r="D1379" s="13" t="inlineStr">
        <is>
          <t>06281080015083</t>
        </is>
      </c>
      <c r="E1379" s="14">
        <f>L1379-K1379</f>
        <v/>
      </c>
      <c r="F1379" s="14" t="n">
        <v>0</v>
      </c>
      <c r="G1379" s="14">
        <f>F1379-E1379</f>
        <v/>
      </c>
      <c r="H1379" s="7" t="n">
        <v>129.7</v>
      </c>
      <c r="I1379" s="7">
        <f>G1379*H1379</f>
        <v/>
      </c>
      <c r="J1379" s="16" t="inlineStr">
        <is>
          <t>لم يُجرد</t>
        </is>
      </c>
      <c r="K1379" s="14" t="n">
        <v>0</v>
      </c>
      <c r="L1379" s="14" t="n">
        <v>1</v>
      </c>
      <c r="M1379" s="5" t="inlineStr"/>
      <c r="N1379" s="5" t="inlineStr"/>
    </row>
    <row r="1380">
      <c r="A1380" s="13" t="inlineStr">
        <is>
          <t>00039268</t>
        </is>
      </c>
      <c r="B1380" s="5" t="inlineStr">
        <is>
          <t>[00039268] HAEMOVIT SYP 125ML</t>
        </is>
      </c>
      <c r="C1380" s="5" t="inlineStr">
        <is>
          <t>دواء</t>
        </is>
      </c>
      <c r="D1380" s="13" t="inlineStr"/>
      <c r="E1380" s="14">
        <f>L1380-K1380</f>
        <v/>
      </c>
      <c r="F1380" s="14" t="n">
        <v>0</v>
      </c>
      <c r="G1380" s="14">
        <f>F1380-E1380</f>
        <v/>
      </c>
      <c r="H1380" s="7" t="n">
        <v>59</v>
      </c>
      <c r="I1380" s="7">
        <f>G1380*H1380</f>
        <v/>
      </c>
      <c r="J1380" s="16" t="inlineStr">
        <is>
          <t>لم يُجرد</t>
        </is>
      </c>
      <c r="K1380" s="14" t="n">
        <v>0</v>
      </c>
      <c r="L1380" s="14" t="n">
        <v>1</v>
      </c>
      <c r="M1380" s="5" t="inlineStr"/>
      <c r="N1380" s="5" t="inlineStr"/>
    </row>
    <row r="1381">
      <c r="A1381" s="13" t="inlineStr">
        <is>
          <t>00047670</t>
        </is>
      </c>
      <c r="B1381" s="5" t="inlineStr">
        <is>
          <t>[00047670] STROBONE VIT D3+K2 60 CAP 8674</t>
        </is>
      </c>
      <c r="C1381" s="5" t="inlineStr">
        <is>
          <t>دواء</t>
        </is>
      </c>
      <c r="D1381" s="13" t="inlineStr">
        <is>
          <t>0618528968674</t>
        </is>
      </c>
      <c r="E1381" s="14">
        <f>L1381-K1381</f>
        <v/>
      </c>
      <c r="F1381" s="14" t="n">
        <v>0</v>
      </c>
      <c r="G1381" s="14">
        <f>F1381-E1381</f>
        <v/>
      </c>
      <c r="H1381" s="7" t="n">
        <v>70</v>
      </c>
      <c r="I1381" s="7">
        <f>G1381*H1381</f>
        <v/>
      </c>
      <c r="J1381" s="16" t="inlineStr">
        <is>
          <t>لم يُجرد</t>
        </is>
      </c>
      <c r="K1381" s="14" t="n">
        <v>0</v>
      </c>
      <c r="L1381" s="14" t="n">
        <v>1</v>
      </c>
      <c r="M1381" s="5" t="inlineStr"/>
      <c r="N1381" s="5" t="inlineStr"/>
    </row>
    <row r="1382">
      <c r="A1382" s="13" t="inlineStr">
        <is>
          <t>00030162</t>
        </is>
      </c>
      <c r="B1382" s="5" t="inlineStr">
        <is>
          <t>[00030162] كاندريل سيمبلي دارك شوكلاتة  بدون سكر 00167</t>
        </is>
      </c>
      <c r="C1382" s="5" t="inlineStr">
        <is>
          <t>دواء</t>
        </is>
      </c>
      <c r="D1382" s="13" t="inlineStr">
        <is>
          <t>7630486400167</t>
        </is>
      </c>
      <c r="E1382" s="14">
        <f>L1382-K1382</f>
        <v/>
      </c>
      <c r="F1382" s="14" t="n">
        <v>0</v>
      </c>
      <c r="G1382" s="14">
        <f>F1382-E1382</f>
        <v/>
      </c>
      <c r="H1382" s="7" t="n">
        <v>17.3</v>
      </c>
      <c r="I1382" s="7">
        <f>G1382*H1382</f>
        <v/>
      </c>
      <c r="J1382" s="16" t="inlineStr">
        <is>
          <t>لم يُجرد</t>
        </is>
      </c>
      <c r="K1382" s="14" t="n">
        <v>0</v>
      </c>
      <c r="L1382" s="14" t="n">
        <v>2</v>
      </c>
      <c r="M1382" s="5" t="inlineStr"/>
      <c r="N1382" s="5" t="inlineStr"/>
    </row>
    <row r="1383">
      <c r="A1383" s="13" t="inlineStr">
        <is>
          <t>0003499</t>
        </is>
      </c>
      <c r="B1383" s="5" t="inlineStr">
        <is>
          <t>[0003499] HEMAMAX-F 30 TAB</t>
        </is>
      </c>
      <c r="C1383" s="5" t="inlineStr">
        <is>
          <t>دواء</t>
        </is>
      </c>
      <c r="D1383" s="13" t="inlineStr"/>
      <c r="E1383" s="14">
        <f>L1383-K1383</f>
        <v/>
      </c>
      <c r="F1383" s="14" t="n">
        <v>0</v>
      </c>
      <c r="G1383" s="14">
        <f>F1383-E1383</f>
        <v/>
      </c>
      <c r="H1383" s="7" t="n">
        <v>17.45</v>
      </c>
      <c r="I1383" s="7">
        <f>G1383*H1383</f>
        <v/>
      </c>
      <c r="J1383" s="16" t="inlineStr">
        <is>
          <t>لم يُجرد</t>
        </is>
      </c>
      <c r="K1383" s="14" t="n">
        <v>0</v>
      </c>
      <c r="L1383" s="14" t="n">
        <v>2</v>
      </c>
      <c r="M1383" s="5" t="inlineStr"/>
      <c r="N1383" s="5" t="inlineStr"/>
    </row>
    <row r="1384">
      <c r="A1384" s="13" t="inlineStr">
        <is>
          <t>0004448</t>
        </is>
      </c>
      <c r="B1384" s="5" t="inlineStr">
        <is>
          <t>[0004448] BENZAC AC 5 % GEL 60GM</t>
        </is>
      </c>
      <c r="C1384" s="5" t="inlineStr">
        <is>
          <t>دواء</t>
        </is>
      </c>
      <c r="D1384" s="13" t="inlineStr">
        <is>
          <t>03499320011488</t>
        </is>
      </c>
      <c r="E1384" s="14">
        <f>L1384-K1384</f>
        <v/>
      </c>
      <c r="F1384" s="14" t="n">
        <v>0</v>
      </c>
      <c r="G1384" s="14">
        <f>F1384-E1384</f>
        <v/>
      </c>
      <c r="H1384" s="7" t="n">
        <v>17.45</v>
      </c>
      <c r="I1384" s="7">
        <f>G1384*H1384</f>
        <v/>
      </c>
      <c r="J1384" s="16" t="inlineStr">
        <is>
          <t>لم يُجرد</t>
        </is>
      </c>
      <c r="K1384" s="14" t="n">
        <v>0</v>
      </c>
      <c r="L1384" s="14" t="n">
        <v>2</v>
      </c>
      <c r="M1384" s="5" t="inlineStr"/>
      <c r="N1384" s="5" t="inlineStr"/>
    </row>
    <row r="1385">
      <c r="A1385" s="13" t="inlineStr">
        <is>
          <t>0003509</t>
        </is>
      </c>
      <c r="B1385" s="5" t="inlineStr">
        <is>
          <t>[0003509] HAEMOPROCT 30GM OINT</t>
        </is>
      </c>
      <c r="C1385" s="5" t="inlineStr">
        <is>
          <t>دواء</t>
        </is>
      </c>
      <c r="D1385" s="13" t="inlineStr">
        <is>
          <t>06291100086597</t>
        </is>
      </c>
      <c r="E1385" s="14">
        <f>L1385-K1385</f>
        <v/>
      </c>
      <c r="F1385" s="14" t="n">
        <v>0</v>
      </c>
      <c r="G1385" s="14">
        <f>F1385-E1385</f>
        <v/>
      </c>
      <c r="H1385" s="7" t="n">
        <v>11.6</v>
      </c>
      <c r="I1385" s="7">
        <f>G1385*H1385</f>
        <v/>
      </c>
      <c r="J1385" s="16" t="inlineStr">
        <is>
          <t>لم يُجرد</t>
        </is>
      </c>
      <c r="K1385" s="14" t="n">
        <v>0</v>
      </c>
      <c r="L1385" s="14" t="n">
        <v>3</v>
      </c>
      <c r="M1385" s="5" t="inlineStr"/>
      <c r="N1385" s="5" t="inlineStr"/>
    </row>
    <row r="1386">
      <c r="A1386" s="13" t="inlineStr">
        <is>
          <t>0003775</t>
        </is>
      </c>
      <c r="B1386" s="5" t="inlineStr">
        <is>
          <t>[0003775] FEVADOL EXTRA 20 TAB</t>
        </is>
      </c>
      <c r="C1386" s="5" t="inlineStr">
        <is>
          <t>دواء</t>
        </is>
      </c>
      <c r="D1386" s="13" t="inlineStr">
        <is>
          <t>01062810860009221010</t>
        </is>
      </c>
      <c r="E1386" s="14">
        <f>L1386-K1386</f>
        <v/>
      </c>
      <c r="F1386" s="14" t="n">
        <v>0</v>
      </c>
      <c r="G1386" s="14">
        <f>F1386-E1386</f>
        <v/>
      </c>
      <c r="H1386" s="7" t="n">
        <v>5.8</v>
      </c>
      <c r="I1386" s="7">
        <f>G1386*H1386</f>
        <v/>
      </c>
      <c r="J1386" s="16" t="inlineStr">
        <is>
          <t>لم يُجرد</t>
        </is>
      </c>
      <c r="K1386" s="14" t="n">
        <v>0</v>
      </c>
      <c r="L1386" s="14" t="n">
        <v>6</v>
      </c>
      <c r="M1386" s="5" t="inlineStr"/>
      <c r="N1386" s="5" t="inlineStr"/>
    </row>
    <row r="1387">
      <c r="A1387" s="13" t="inlineStr">
        <is>
          <t>00029700</t>
        </is>
      </c>
      <c r="B1387" s="5" t="inlineStr">
        <is>
          <t>[00029700] MOVICOL PEDIATRIC SACHETS 30 SACH</t>
        </is>
      </c>
      <c r="C1387" s="5" t="inlineStr">
        <is>
          <t>دواء</t>
        </is>
      </c>
      <c r="D1387" s="13" t="inlineStr">
        <is>
          <t>07640153082039</t>
        </is>
      </c>
      <c r="E1387" s="14">
        <f>L1387-K1387</f>
        <v/>
      </c>
      <c r="F1387" s="14" t="n">
        <v>0</v>
      </c>
      <c r="G1387" s="14">
        <f>F1387-E1387</f>
        <v/>
      </c>
      <c r="H1387" s="7" t="n">
        <v>35.3</v>
      </c>
      <c r="I1387" s="7">
        <f>G1387*H1387</f>
        <v/>
      </c>
      <c r="J1387" s="16" t="inlineStr">
        <is>
          <t>لم يُجرد</t>
        </is>
      </c>
      <c r="K1387" s="14" t="n">
        <v>0</v>
      </c>
      <c r="L1387" s="14" t="n">
        <v>1</v>
      </c>
      <c r="M1387" s="5" t="inlineStr"/>
      <c r="N1387" s="5" t="inlineStr"/>
    </row>
    <row r="1388">
      <c r="A1388" s="13" t="inlineStr">
        <is>
          <t>0003498</t>
        </is>
      </c>
      <c r="B1388" s="5" t="inlineStr">
        <is>
          <t>[0003498] HEMAMAX TAB</t>
        </is>
      </c>
      <c r="C1388" s="5" t="inlineStr">
        <is>
          <t>دواء</t>
        </is>
      </c>
      <c r="D1388" s="13" t="inlineStr"/>
      <c r="E1388" s="14">
        <f>L1388-K1388</f>
        <v/>
      </c>
      <c r="F1388" s="14" t="n">
        <v>0</v>
      </c>
      <c r="G1388" s="14">
        <f>F1388-E1388</f>
        <v/>
      </c>
      <c r="H1388" s="7" t="n">
        <v>17.35</v>
      </c>
      <c r="I1388" s="7">
        <f>G1388*H1388</f>
        <v/>
      </c>
      <c r="J1388" s="16" t="inlineStr">
        <is>
          <t>لم يُجرد</t>
        </is>
      </c>
      <c r="K1388" s="14" t="n">
        <v>0</v>
      </c>
      <c r="L1388" s="14" t="n">
        <v>2</v>
      </c>
      <c r="M1388" s="5" t="inlineStr"/>
      <c r="N1388" s="5" t="inlineStr"/>
    </row>
    <row r="1389">
      <c r="A1389" s="13" t="inlineStr">
        <is>
          <t>0005655</t>
        </is>
      </c>
      <c r="B1389" s="5" t="inlineStr">
        <is>
          <t>[0005655] MAXITROL EYE DROPS 5ML</t>
        </is>
      </c>
      <c r="C1389" s="5" t="inlineStr">
        <is>
          <t>دواء</t>
        </is>
      </c>
      <c r="D1389" s="13" t="inlineStr">
        <is>
          <t>01003006506290342100</t>
        </is>
      </c>
      <c r="E1389" s="14">
        <f>L1389-K1389</f>
        <v/>
      </c>
      <c r="F1389" s="14" t="n">
        <v>0</v>
      </c>
      <c r="G1389" s="14">
        <f>F1389-E1389</f>
        <v/>
      </c>
      <c r="H1389" s="7" t="n">
        <v>11.55</v>
      </c>
      <c r="I1389" s="7">
        <f>G1389*H1389</f>
        <v/>
      </c>
      <c r="J1389" s="16" t="inlineStr">
        <is>
          <t>لم يُجرد</t>
        </is>
      </c>
      <c r="K1389" s="14" t="n">
        <v>0</v>
      </c>
      <c r="L1389" s="14" t="n">
        <v>3</v>
      </c>
      <c r="M1389" s="5" t="inlineStr"/>
      <c r="N1389" s="5" t="inlineStr"/>
    </row>
    <row r="1390">
      <c r="A1390" s="13" t="inlineStr">
        <is>
          <t>0005037</t>
        </is>
      </c>
      <c r="B1390" s="5" t="inlineStr">
        <is>
          <t>[0005037] RINOFED SYRUP 100ML</t>
        </is>
      </c>
      <c r="C1390" s="5" t="inlineStr">
        <is>
          <t>دواء</t>
        </is>
      </c>
      <c r="D1390" s="13" t="inlineStr"/>
      <c r="E1390" s="14">
        <f>L1390-K1390</f>
        <v/>
      </c>
      <c r="F1390" s="14" t="n">
        <v>0</v>
      </c>
      <c r="G1390" s="14">
        <f>F1390-E1390</f>
        <v/>
      </c>
      <c r="H1390" s="7" t="n">
        <v>3.85</v>
      </c>
      <c r="I1390" s="7">
        <f>G1390*H1390</f>
        <v/>
      </c>
      <c r="J1390" s="16" t="inlineStr">
        <is>
          <t>لم يُجرد</t>
        </is>
      </c>
      <c r="K1390" s="14" t="n">
        <v>0</v>
      </c>
      <c r="L1390" s="14" t="n">
        <v>9</v>
      </c>
      <c r="M1390" s="5" t="inlineStr"/>
      <c r="N1390" s="5" t="inlineStr"/>
    </row>
    <row r="1391">
      <c r="A1391" s="13" t="inlineStr">
        <is>
          <t>0004767</t>
        </is>
      </c>
      <c r="B1391" s="5" t="inlineStr">
        <is>
          <t>[0004767] TEGRETOL CR 400MG 30 TAB</t>
        </is>
      </c>
      <c r="C1391" s="5" t="inlineStr">
        <is>
          <t>دواء</t>
        </is>
      </c>
      <c r="D1391" s="13" t="inlineStr"/>
      <c r="E1391" s="14">
        <f>L1391-K1391</f>
        <v/>
      </c>
      <c r="F1391" s="14" t="n">
        <v>0</v>
      </c>
      <c r="G1391" s="14">
        <f>F1391-E1391</f>
        <v/>
      </c>
      <c r="H1391" s="7" t="n">
        <v>34.7</v>
      </c>
      <c r="I1391" s="7">
        <f>G1391*H1391</f>
        <v/>
      </c>
      <c r="J1391" s="16" t="inlineStr">
        <is>
          <t>لم يُجرد</t>
        </is>
      </c>
      <c r="K1391" s="14" t="n">
        <v>0</v>
      </c>
      <c r="L1391" s="14" t="n">
        <v>1</v>
      </c>
      <c r="M1391" s="5" t="inlineStr"/>
      <c r="N1391" s="5" t="inlineStr"/>
    </row>
    <row r="1392">
      <c r="A1392" s="13" t="inlineStr">
        <is>
          <t>0003956</t>
        </is>
      </c>
      <c r="B1392" s="5" t="inlineStr">
        <is>
          <t>[0003956] DICLOGESIC RET 100 MG 12 CAPS</t>
        </is>
      </c>
      <c r="C1392" s="5" t="inlineStr">
        <is>
          <t>دواء</t>
        </is>
      </c>
      <c r="D1392" s="13" t="inlineStr">
        <is>
          <t>01062511070570131020</t>
        </is>
      </c>
      <c r="E1392" s="14">
        <f>L1392-K1392</f>
        <v/>
      </c>
      <c r="F1392" s="14" t="n">
        <v>0</v>
      </c>
      <c r="G1392" s="14">
        <f>F1392-E1392</f>
        <v/>
      </c>
      <c r="H1392" s="7" t="n">
        <v>17.2</v>
      </c>
      <c r="I1392" s="7">
        <f>G1392*H1392</f>
        <v/>
      </c>
      <c r="J1392" s="16" t="inlineStr">
        <is>
          <t>لم يُجرد</t>
        </is>
      </c>
      <c r="K1392" s="14" t="n">
        <v>0</v>
      </c>
      <c r="L1392" s="14" t="n">
        <v>2</v>
      </c>
      <c r="M1392" s="5" t="inlineStr"/>
      <c r="N1392" s="5" t="inlineStr"/>
    </row>
    <row r="1393">
      <c r="A1393" s="13" t="inlineStr">
        <is>
          <t>0005795</t>
        </is>
      </c>
      <c r="B1393" s="5" t="inlineStr">
        <is>
          <t>[0005795] ROXIL SUSPENSION 250MG/5ML WASFA</t>
        </is>
      </c>
      <c r="C1393" s="5" t="inlineStr">
        <is>
          <t>دواء</t>
        </is>
      </c>
      <c r="D1393" s="13" t="inlineStr">
        <is>
          <t>01062851470040411720</t>
        </is>
      </c>
      <c r="E1393" s="14">
        <f>L1393-K1393</f>
        <v/>
      </c>
      <c r="F1393" s="14" t="n">
        <v>0</v>
      </c>
      <c r="G1393" s="14">
        <f>F1393-E1393</f>
        <v/>
      </c>
      <c r="H1393" s="7" t="n">
        <v>24.6</v>
      </c>
      <c r="I1393" s="7">
        <f>G1393*H1393</f>
        <v/>
      </c>
      <c r="J1393" s="16" t="inlineStr">
        <is>
          <t>لم يُجرد</t>
        </is>
      </c>
      <c r="K1393" s="14" t="n">
        <v>0</v>
      </c>
      <c r="L1393" s="14" t="n">
        <v>2</v>
      </c>
      <c r="M1393" s="5" t="inlineStr"/>
      <c r="N1393" s="5" t="inlineStr"/>
    </row>
    <row r="1394">
      <c r="A1394" s="13" t="inlineStr">
        <is>
          <t>00045920</t>
        </is>
      </c>
      <c r="B1394" s="5" t="inlineStr">
        <is>
          <t>[00045920] CHLOROHISTOL SYP</t>
        </is>
      </c>
      <c r="C1394" s="5" t="inlineStr">
        <is>
          <t>دواء</t>
        </is>
      </c>
      <c r="D1394" s="13" t="inlineStr">
        <is>
          <t>06291100081400</t>
        </is>
      </c>
      <c r="E1394" s="14">
        <f>L1394-K1394</f>
        <v/>
      </c>
      <c r="F1394" s="14" t="n">
        <v>0</v>
      </c>
      <c r="G1394" s="14">
        <f>F1394-E1394</f>
        <v/>
      </c>
      <c r="H1394" s="7" t="n">
        <v>5.65</v>
      </c>
      <c r="I1394" s="7">
        <f>G1394*H1394</f>
        <v/>
      </c>
      <c r="J1394" s="16" t="inlineStr">
        <is>
          <t>لم يُجرد</t>
        </is>
      </c>
      <c r="K1394" s="14" t="n">
        <v>0</v>
      </c>
      <c r="L1394" s="14" t="n">
        <v>6</v>
      </c>
      <c r="M1394" s="5" t="inlineStr"/>
      <c r="N1394" s="5" t="inlineStr"/>
    </row>
    <row r="1395">
      <c r="A1395" s="13" t="inlineStr">
        <is>
          <t>00046099</t>
        </is>
      </c>
      <c r="B1395" s="5" t="inlineStr">
        <is>
          <t>[00046099] PHARMATON VITALITY 30TAB 5565</t>
        </is>
      </c>
      <c r="C1395" s="5" t="inlineStr">
        <is>
          <t>دواء</t>
        </is>
      </c>
      <c r="D1395" s="13" t="inlineStr">
        <is>
          <t>3664798065565</t>
        </is>
      </c>
      <c r="E1395" s="14">
        <f>L1395-K1395</f>
        <v/>
      </c>
      <c r="F1395" s="14" t="n">
        <v>0</v>
      </c>
      <c r="G1395" s="14">
        <f>F1395-E1395</f>
        <v/>
      </c>
      <c r="H1395" s="7" t="n">
        <v>43.4</v>
      </c>
      <c r="I1395" s="7">
        <f>G1395*H1395</f>
        <v/>
      </c>
      <c r="J1395" s="16" t="inlineStr">
        <is>
          <t>لم يُجرد</t>
        </is>
      </c>
      <c r="K1395" s="14" t="n">
        <v>0</v>
      </c>
      <c r="L1395" s="14" t="n">
        <v>1</v>
      </c>
      <c r="M1395" s="5" t="inlineStr"/>
      <c r="N1395" s="5" t="inlineStr"/>
    </row>
    <row r="1396">
      <c r="A1396" s="13" t="inlineStr">
        <is>
          <t>00021056</t>
        </is>
      </c>
      <c r="B1396" s="5" t="inlineStr">
        <is>
          <t>[00021056] اي كير ابره وخز 3061</t>
        </is>
      </c>
      <c r="C1396" s="5" t="inlineStr">
        <is>
          <t>دواء</t>
        </is>
      </c>
      <c r="D1396" s="13" t="inlineStr">
        <is>
          <t>4717095033061</t>
        </is>
      </c>
      <c r="E1396" s="14">
        <f>L1396-K1396</f>
        <v/>
      </c>
      <c r="F1396" s="14" t="n">
        <v>0</v>
      </c>
      <c r="G1396" s="14">
        <f>F1396-E1396</f>
        <v/>
      </c>
      <c r="H1396" s="7" t="n">
        <v>12</v>
      </c>
      <c r="I1396" s="7">
        <f>G1396*H1396</f>
        <v/>
      </c>
      <c r="J1396" s="16" t="inlineStr">
        <is>
          <t>لم يُجرد</t>
        </is>
      </c>
      <c r="K1396" s="14" t="n">
        <v>0</v>
      </c>
      <c r="L1396" s="14" t="n">
        <v>4</v>
      </c>
      <c r="M1396" s="5" t="inlineStr"/>
      <c r="N1396" s="5" t="inlineStr"/>
    </row>
    <row r="1397">
      <c r="A1397" s="13" t="inlineStr">
        <is>
          <t>0005468</t>
        </is>
      </c>
      <c r="B1397" s="5" t="inlineStr">
        <is>
          <t>[0005468] OCEAN NASAL SPRAY 15 ML</t>
        </is>
      </c>
      <c r="C1397" s="5" t="inlineStr">
        <is>
          <t>دواء</t>
        </is>
      </c>
      <c r="D1397" s="13" t="inlineStr">
        <is>
          <t>4020799612006</t>
        </is>
      </c>
      <c r="E1397" s="14">
        <f>L1397-K1397</f>
        <v/>
      </c>
      <c r="F1397" s="14" t="n">
        <v>0</v>
      </c>
      <c r="G1397" s="14">
        <f>F1397-E1397</f>
        <v/>
      </c>
      <c r="H1397" s="7" t="n">
        <v>45</v>
      </c>
      <c r="I1397" s="7">
        <f>G1397*H1397</f>
        <v/>
      </c>
      <c r="J1397" s="16" t="inlineStr">
        <is>
          <t>لم يُجرد</t>
        </is>
      </c>
      <c r="K1397" s="14" t="n">
        <v>0</v>
      </c>
      <c r="L1397" s="14" t="n">
        <v>1</v>
      </c>
      <c r="M1397" s="5" t="inlineStr"/>
      <c r="N1397" s="5" t="inlineStr"/>
    </row>
    <row r="1398">
      <c r="A1398" s="13" t="inlineStr">
        <is>
          <t>0003133</t>
        </is>
      </c>
      <c r="B1398" s="5" t="inlineStr">
        <is>
          <t>[0003133] ZYRTEC SYRUP 75ML</t>
        </is>
      </c>
      <c r="C1398" s="5" t="inlineStr">
        <is>
          <t>دواء</t>
        </is>
      </c>
      <c r="D1398" s="13" t="inlineStr">
        <is>
          <t>06285096000767</t>
        </is>
      </c>
      <c r="E1398" s="14">
        <f>L1398-K1398</f>
        <v/>
      </c>
      <c r="F1398" s="14" t="n">
        <v>0</v>
      </c>
      <c r="G1398" s="14">
        <f>F1398-E1398</f>
        <v/>
      </c>
      <c r="H1398" s="7" t="n">
        <v>19.35</v>
      </c>
      <c r="I1398" s="7">
        <f>G1398*H1398</f>
        <v/>
      </c>
      <c r="J1398" s="16" t="inlineStr">
        <is>
          <t>لم يُجرد</t>
        </is>
      </c>
      <c r="K1398" s="14" t="n">
        <v>0</v>
      </c>
      <c r="L1398" s="14" t="n">
        <v>2</v>
      </c>
      <c r="M1398" s="5" t="inlineStr"/>
      <c r="N1398" s="5" t="inlineStr"/>
    </row>
    <row r="1399">
      <c r="A1399" s="13" t="inlineStr">
        <is>
          <t>00031054</t>
        </is>
      </c>
      <c r="B1399" s="5" t="inlineStr">
        <is>
          <t>[00031054] CELER 5MG TAB</t>
        </is>
      </c>
      <c r="C1399" s="5" t="inlineStr">
        <is>
          <t>دواء</t>
        </is>
      </c>
      <c r="D1399" s="13" t="inlineStr"/>
      <c r="E1399" s="14">
        <f>L1399-K1399</f>
        <v/>
      </c>
      <c r="F1399" s="14" t="n">
        <v>0</v>
      </c>
      <c r="G1399" s="14">
        <f>F1399-E1399</f>
        <v/>
      </c>
      <c r="H1399" s="7" t="n">
        <v>16.75</v>
      </c>
      <c r="I1399" s="7">
        <f>G1399*H1399</f>
        <v/>
      </c>
      <c r="J1399" s="16" t="inlineStr">
        <is>
          <t>لم يُجرد</t>
        </is>
      </c>
      <c r="K1399" s="14" t="n">
        <v>0</v>
      </c>
      <c r="L1399" s="14" t="n">
        <v>2</v>
      </c>
      <c r="M1399" s="5" t="inlineStr"/>
      <c r="N1399" s="5" t="inlineStr"/>
    </row>
    <row r="1400">
      <c r="A1400" s="13" t="inlineStr">
        <is>
          <t>00035565</t>
        </is>
      </c>
      <c r="B1400" s="5" t="inlineStr">
        <is>
          <t>[00035565] AERIALLERG 5MG 30 TAB</t>
        </is>
      </c>
      <c r="C1400" s="5" t="inlineStr">
        <is>
          <t>دواء</t>
        </is>
      </c>
      <c r="D1400" s="13" t="inlineStr">
        <is>
          <t>06251106210235</t>
        </is>
      </c>
      <c r="E1400" s="14">
        <f>L1400-K1400</f>
        <v/>
      </c>
      <c r="F1400" s="14" t="n">
        <v>0</v>
      </c>
      <c r="G1400" s="14">
        <f>F1400-E1400</f>
        <v/>
      </c>
      <c r="H1400" s="7" t="n">
        <v>16.75</v>
      </c>
      <c r="I1400" s="7">
        <f>G1400*H1400</f>
        <v/>
      </c>
      <c r="J1400" s="16" t="inlineStr">
        <is>
          <t>لم يُجرد</t>
        </is>
      </c>
      <c r="K1400" s="14" t="n">
        <v>0</v>
      </c>
      <c r="L1400" s="14" t="n">
        <v>2</v>
      </c>
      <c r="M1400" s="5" t="inlineStr"/>
      <c r="N1400" s="5" t="inlineStr"/>
    </row>
    <row r="1401">
      <c r="A1401" s="13" t="inlineStr">
        <is>
          <t>00039350</t>
        </is>
      </c>
      <c r="B1401" s="5" t="inlineStr">
        <is>
          <t>[00039350] LORIUS 5MG 30 TAB ZIMMO</t>
        </is>
      </c>
      <c r="C1401" s="5" t="inlineStr">
        <is>
          <t>دواء</t>
        </is>
      </c>
      <c r="D1401" s="13" t="inlineStr"/>
      <c r="E1401" s="14">
        <f>L1401-K1401</f>
        <v/>
      </c>
      <c r="F1401" s="14" t="n">
        <v>0</v>
      </c>
      <c r="G1401" s="14">
        <f>F1401-E1401</f>
        <v/>
      </c>
      <c r="H1401" s="7" t="n">
        <v>16.75</v>
      </c>
      <c r="I1401" s="7">
        <f>G1401*H1401</f>
        <v/>
      </c>
      <c r="J1401" s="16" t="inlineStr">
        <is>
          <t>لم يُجرد</t>
        </is>
      </c>
      <c r="K1401" s="14" t="n">
        <v>0</v>
      </c>
      <c r="L1401" s="14" t="n">
        <v>2</v>
      </c>
      <c r="M1401" s="5" t="inlineStr"/>
      <c r="N1401" s="5" t="inlineStr"/>
    </row>
    <row r="1402">
      <c r="A1402" s="13" t="inlineStr">
        <is>
          <t>0003359</t>
        </is>
      </c>
      <c r="B1402" s="5" t="inlineStr">
        <is>
          <t>[0003359] KAPECT SUSPENSION 120ML</t>
        </is>
      </c>
      <c r="C1402" s="5" t="inlineStr">
        <is>
          <t>دواء</t>
        </is>
      </c>
      <c r="D1402" s="13" t="inlineStr">
        <is>
          <t>6221032221308</t>
        </is>
      </c>
      <c r="E1402" s="14">
        <f>L1402-K1402</f>
        <v/>
      </c>
      <c r="F1402" s="14" t="n">
        <v>0</v>
      </c>
      <c r="G1402" s="14">
        <f>F1402-E1402</f>
        <v/>
      </c>
      <c r="H1402" s="7" t="n">
        <v>9.300000000000001</v>
      </c>
      <c r="I1402" s="7">
        <f>G1402*H1402</f>
        <v/>
      </c>
      <c r="J1402" s="16" t="inlineStr">
        <is>
          <t>لم يُجرد</t>
        </is>
      </c>
      <c r="K1402" s="14" t="n">
        <v>0</v>
      </c>
      <c r="L1402" s="14" t="n">
        <v>5</v>
      </c>
      <c r="M1402" s="5" t="inlineStr"/>
      <c r="N1402" s="5" t="inlineStr"/>
    </row>
    <row r="1403">
      <c r="A1403" s="13" t="inlineStr">
        <is>
          <t>0005107</t>
        </is>
      </c>
      <c r="B1403" s="5" t="inlineStr">
        <is>
          <t>[0005107] RINOCLENIL NASAL SPRAY</t>
        </is>
      </c>
      <c r="C1403" s="5" t="inlineStr">
        <is>
          <t>دواء</t>
        </is>
      </c>
      <c r="D1403" s="13" t="inlineStr"/>
      <c r="E1403" s="14">
        <f>L1403-K1403</f>
        <v/>
      </c>
      <c r="F1403" s="14" t="n">
        <v>0</v>
      </c>
      <c r="G1403" s="14">
        <f>F1403-E1403</f>
        <v/>
      </c>
      <c r="H1403" s="7" t="n">
        <v>44.95</v>
      </c>
      <c r="I1403" s="7">
        <f>G1403*H1403</f>
        <v/>
      </c>
      <c r="J1403" s="16" t="inlineStr">
        <is>
          <t>لم يُجرد</t>
        </is>
      </c>
      <c r="K1403" s="14" t="n">
        <v>0</v>
      </c>
      <c r="L1403" s="14" t="n">
        <v>1</v>
      </c>
      <c r="M1403" s="5" t="inlineStr"/>
      <c r="N1403" s="5" t="inlineStr"/>
    </row>
    <row r="1404">
      <c r="A1404" s="13" t="inlineStr">
        <is>
          <t>0004913</t>
        </is>
      </c>
      <c r="B1404" s="5" t="inlineStr">
        <is>
          <t>[0004913] SELECTA 2.5MG 30STAB WASFA</t>
        </is>
      </c>
      <c r="C1404" s="5" t="inlineStr">
        <is>
          <t>دواء</t>
        </is>
      </c>
      <c r="D1404" s="13" t="inlineStr">
        <is>
          <t>010628512800079610un</t>
        </is>
      </c>
      <c r="E1404" s="14">
        <f>L1404-K1404</f>
        <v/>
      </c>
      <c r="F1404" s="14" t="n">
        <v>0</v>
      </c>
      <c r="G1404" s="14">
        <f>F1404-E1404</f>
        <v/>
      </c>
      <c r="H1404" s="7" t="n">
        <v>18.55</v>
      </c>
      <c r="I1404" s="7">
        <f>G1404*H1404</f>
        <v/>
      </c>
      <c r="J1404" s="16" t="inlineStr">
        <is>
          <t>لم يُجرد</t>
        </is>
      </c>
      <c r="K1404" s="14" t="n">
        <v>0</v>
      </c>
      <c r="L1404" s="14" t="n">
        <v>2</v>
      </c>
      <c r="M1404" s="5" t="inlineStr"/>
      <c r="N1404" s="5" t="inlineStr"/>
    </row>
    <row r="1405">
      <c r="A1405" s="13" t="inlineStr">
        <is>
          <t>0004477</t>
        </is>
      </c>
      <c r="B1405" s="5" t="inlineStr">
        <is>
          <t>[0004477] ACETAB 25MG 30TAB</t>
        </is>
      </c>
      <c r="C1405" s="5" t="inlineStr">
        <is>
          <t>دواء</t>
        </is>
      </c>
      <c r="D1405" s="13" t="inlineStr">
        <is>
          <t>06285085001119</t>
        </is>
      </c>
      <c r="E1405" s="14">
        <f>L1405-K1405</f>
        <v/>
      </c>
      <c r="F1405" s="14" t="n">
        <v>0</v>
      </c>
      <c r="G1405" s="14">
        <f>F1405-E1405</f>
        <v/>
      </c>
      <c r="H1405" s="7" t="n">
        <v>20.25</v>
      </c>
      <c r="I1405" s="7">
        <f>G1405*H1405</f>
        <v/>
      </c>
      <c r="J1405" s="16" t="inlineStr">
        <is>
          <t>لم يُجرد</t>
        </is>
      </c>
      <c r="K1405" s="14" t="n">
        <v>0</v>
      </c>
      <c r="L1405" s="14" t="n">
        <v>1.66</v>
      </c>
      <c r="M1405" s="5" t="inlineStr"/>
      <c r="N1405" s="5" t="inlineStr"/>
    </row>
    <row r="1406">
      <c r="A1406" s="13" t="inlineStr">
        <is>
          <t>00012856</t>
        </is>
      </c>
      <c r="B1406" s="5" t="inlineStr">
        <is>
          <t>[00012856] JP VITALIFE 30CAP</t>
        </is>
      </c>
      <c r="C1406" s="5" t="inlineStr">
        <is>
          <t>دواء</t>
        </is>
      </c>
      <c r="D1406" s="13" t="inlineStr">
        <is>
          <t>06285128024709</t>
        </is>
      </c>
      <c r="E1406" s="14">
        <f>L1406-K1406</f>
        <v/>
      </c>
      <c r="F1406" s="14" t="n">
        <v>0</v>
      </c>
      <c r="G1406" s="14">
        <f>F1406-E1406</f>
        <v/>
      </c>
      <c r="H1406" s="7" t="n">
        <v>33.2</v>
      </c>
      <c r="I1406" s="7">
        <f>G1406*H1406</f>
        <v/>
      </c>
      <c r="J1406" s="16" t="inlineStr">
        <is>
          <t>لم يُجرد</t>
        </is>
      </c>
      <c r="K1406" s="14" t="n">
        <v>0</v>
      </c>
      <c r="L1406" s="14" t="n">
        <v>1</v>
      </c>
      <c r="M1406" s="5" t="inlineStr"/>
      <c r="N1406" s="5" t="inlineStr"/>
    </row>
    <row r="1407">
      <c r="A1407" s="13" t="inlineStr">
        <is>
          <t>0004386</t>
        </is>
      </c>
      <c r="B1407" s="5" t="inlineStr">
        <is>
          <t>[0004386] BUTALIN 4 MG 20TAB</t>
        </is>
      </c>
      <c r="C1407" s="5" t="inlineStr">
        <is>
          <t>دواء</t>
        </is>
      </c>
      <c r="D1407" s="13" t="inlineStr"/>
      <c r="E1407" s="14">
        <f>L1407-K1407</f>
        <v/>
      </c>
      <c r="F1407" s="14" t="n">
        <v>0</v>
      </c>
      <c r="G1407" s="14">
        <f>F1407-E1407</f>
        <v/>
      </c>
      <c r="H1407" s="7" t="n">
        <v>8.300000000000001</v>
      </c>
      <c r="I1407" s="7">
        <f>G1407*H1407</f>
        <v/>
      </c>
      <c r="J1407" s="16" t="inlineStr">
        <is>
          <t>لم يُجرد</t>
        </is>
      </c>
      <c r="K1407" s="14" t="n">
        <v>0</v>
      </c>
      <c r="L1407" s="14" t="n">
        <v>4</v>
      </c>
      <c r="M1407" s="5" t="inlineStr"/>
      <c r="N1407" s="5" t="inlineStr"/>
    </row>
    <row r="1408">
      <c r="A1408" s="13" t="inlineStr">
        <is>
          <t>00040867</t>
        </is>
      </c>
      <c r="B1408" s="5" t="inlineStr">
        <is>
          <t>[00040867] PEROZIN 11075MASSAGE CREAM 100ML</t>
        </is>
      </c>
      <c r="C1408" s="5" t="inlineStr">
        <is>
          <t>دواء</t>
        </is>
      </c>
      <c r="D1408" s="13" t="inlineStr">
        <is>
          <t>5704132011075</t>
        </is>
      </c>
      <c r="E1408" s="14">
        <f>L1408-K1408</f>
        <v/>
      </c>
      <c r="F1408" s="14" t="n">
        <v>0</v>
      </c>
      <c r="G1408" s="14">
        <f>F1408-E1408</f>
        <v/>
      </c>
      <c r="H1408" s="7" t="n">
        <v>68.7</v>
      </c>
      <c r="I1408" s="7">
        <f>G1408*H1408</f>
        <v/>
      </c>
      <c r="J1408" s="16" t="inlineStr">
        <is>
          <t>لم يُجرد</t>
        </is>
      </c>
      <c r="K1408" s="14" t="n">
        <v>0</v>
      </c>
      <c r="L1408" s="14" t="n">
        <v>1</v>
      </c>
      <c r="M1408" s="5" t="inlineStr"/>
      <c r="N1408" s="5" t="inlineStr"/>
    </row>
    <row r="1409">
      <c r="A1409" s="13" t="inlineStr">
        <is>
          <t>0004187</t>
        </is>
      </c>
      <c r="B1409" s="5" t="inlineStr">
        <is>
          <t>[0004187] DAROXIME 500MG 10TAB</t>
        </is>
      </c>
      <c r="C1409" s="5" t="inlineStr">
        <is>
          <t>دواء</t>
        </is>
      </c>
      <c r="D1409" s="13" t="inlineStr"/>
      <c r="E1409" s="14">
        <f>L1409-K1409</f>
        <v/>
      </c>
      <c r="F1409" s="14" t="n">
        <v>0</v>
      </c>
      <c r="G1409" s="14">
        <f>F1409-E1409</f>
        <v/>
      </c>
      <c r="H1409" s="7" t="n">
        <v>32.95</v>
      </c>
      <c r="I1409" s="7">
        <f>G1409*H1409</f>
        <v/>
      </c>
      <c r="J1409" s="16" t="inlineStr">
        <is>
          <t>لم يُجرد</t>
        </is>
      </c>
      <c r="K1409" s="14" t="n">
        <v>0</v>
      </c>
      <c r="L1409" s="14" t="n">
        <v>1</v>
      </c>
      <c r="M1409" s="5" t="inlineStr"/>
      <c r="N1409" s="5" t="inlineStr"/>
    </row>
    <row r="1410">
      <c r="A1410" s="13" t="inlineStr">
        <is>
          <t>00019292</t>
        </is>
      </c>
      <c r="B1410" s="5" t="inlineStr">
        <is>
          <t>[00019292] DECOZAL0.05% MD NASAL SPRAY 10ML</t>
        </is>
      </c>
      <c r="C1410" s="5" t="inlineStr">
        <is>
          <t>دواء</t>
        </is>
      </c>
      <c r="D1410" s="13" t="inlineStr"/>
      <c r="E1410" s="14">
        <f>L1410-K1410</f>
        <v/>
      </c>
      <c r="F1410" s="14" t="n">
        <v>0</v>
      </c>
      <c r="G1410" s="14">
        <f>F1410-E1410</f>
        <v/>
      </c>
      <c r="H1410" s="7" t="n">
        <v>8.25</v>
      </c>
      <c r="I1410" s="7">
        <f>G1410*H1410</f>
        <v/>
      </c>
      <c r="J1410" s="16" t="inlineStr">
        <is>
          <t>لم يُجرد</t>
        </is>
      </c>
      <c r="K1410" s="14" t="n">
        <v>0</v>
      </c>
      <c r="L1410" s="14" t="n">
        <v>4</v>
      </c>
      <c r="M1410" s="5" t="inlineStr"/>
      <c r="N1410" s="5" t="inlineStr"/>
    </row>
    <row r="1411">
      <c r="A1411" s="13" t="inlineStr">
        <is>
          <t>0003768</t>
        </is>
      </c>
      <c r="B1411" s="5" t="inlineStr">
        <is>
          <t>[0003768] APO DICLO 50 MG TAB</t>
        </is>
      </c>
      <c r="C1411" s="5" t="inlineStr">
        <is>
          <t>دواء</t>
        </is>
      </c>
      <c r="D1411" s="13" t="inlineStr">
        <is>
          <t>01007713131431102149</t>
        </is>
      </c>
      <c r="E1411" s="14">
        <f>L1411-K1411</f>
        <v/>
      </c>
      <c r="F1411" s="14" t="n">
        <v>0</v>
      </c>
      <c r="G1411" s="14">
        <f>F1411-E1411</f>
        <v/>
      </c>
      <c r="H1411" s="7" t="n">
        <v>19.8</v>
      </c>
      <c r="I1411" s="7">
        <f>G1411*H1411</f>
        <v/>
      </c>
      <c r="J1411" s="16" t="inlineStr">
        <is>
          <t>لم يُجرد</t>
        </is>
      </c>
      <c r="K1411" s="14" t="n">
        <v>0</v>
      </c>
      <c r="L1411" s="14" t="n">
        <v>2</v>
      </c>
      <c r="M1411" s="5" t="inlineStr"/>
      <c r="N1411" s="5" t="inlineStr"/>
    </row>
    <row r="1412">
      <c r="A1412" s="13" t="inlineStr">
        <is>
          <t>0003480</t>
        </is>
      </c>
      <c r="B1412" s="5" t="inlineStr">
        <is>
          <t>[0003480] ARBITEN PLUS 160/25MG 30TAB</t>
        </is>
      </c>
      <c r="C1412" s="5" t="inlineStr">
        <is>
          <t>دواء</t>
        </is>
      </c>
      <c r="D1412" s="13" t="inlineStr">
        <is>
          <t>06251599000979</t>
        </is>
      </c>
      <c r="E1412" s="14">
        <f>L1412-K1412</f>
        <v/>
      </c>
      <c r="F1412" s="14" t="n">
        <v>0</v>
      </c>
      <c r="G1412" s="14">
        <f>F1412-E1412</f>
        <v/>
      </c>
      <c r="H1412" s="7" t="n">
        <v>32.5</v>
      </c>
      <c r="I1412" s="7">
        <f>G1412*H1412</f>
        <v/>
      </c>
      <c r="J1412" s="16" t="inlineStr">
        <is>
          <t>لم يُجرد</t>
        </is>
      </c>
      <c r="K1412" s="14" t="n">
        <v>0</v>
      </c>
      <c r="L1412" s="14" t="n">
        <v>1</v>
      </c>
      <c r="M1412" s="5" t="inlineStr"/>
      <c r="N1412" s="5" t="inlineStr"/>
    </row>
    <row r="1413">
      <c r="A1413" s="13" t="inlineStr">
        <is>
          <t>00036714</t>
        </is>
      </c>
      <c r="B1413" s="5" t="inlineStr">
        <is>
          <t>[00036714] UPSA VITAMIN C 1000MG 20TAB 4529</t>
        </is>
      </c>
      <c r="C1413" s="5" t="inlineStr">
        <is>
          <t>دواء</t>
        </is>
      </c>
      <c r="D1413" s="13" t="inlineStr">
        <is>
          <t>3585555024529</t>
        </is>
      </c>
      <c r="E1413" s="14">
        <f>L1413-K1413</f>
        <v/>
      </c>
      <c r="F1413" s="14" t="n">
        <v>0</v>
      </c>
      <c r="G1413" s="14">
        <f>F1413-E1413</f>
        <v/>
      </c>
      <c r="H1413" s="7" t="n">
        <v>41.65</v>
      </c>
      <c r="I1413" s="7">
        <f>G1413*H1413</f>
        <v/>
      </c>
      <c r="J1413" s="16" t="inlineStr">
        <is>
          <t>لم يُجرد</t>
        </is>
      </c>
      <c r="K1413" s="14" t="n">
        <v>0</v>
      </c>
      <c r="L1413" s="14" t="n">
        <v>1</v>
      </c>
      <c r="M1413" s="5" t="inlineStr"/>
      <c r="N1413" s="5" t="inlineStr"/>
    </row>
    <row r="1414">
      <c r="A1414" s="13" t="inlineStr">
        <is>
          <t>00030508</t>
        </is>
      </c>
      <c r="B1414" s="5" t="inlineStr">
        <is>
          <t>[00030508] LODIPAM 10MG TAB</t>
        </is>
      </c>
      <c r="C1414" s="5" t="inlineStr">
        <is>
          <t>دواء</t>
        </is>
      </c>
      <c r="D1414" s="13" t="inlineStr">
        <is>
          <t>06288030000137</t>
        </is>
      </c>
      <c r="E1414" s="14">
        <f>L1414-K1414</f>
        <v/>
      </c>
      <c r="F1414" s="14" t="n">
        <v>0</v>
      </c>
      <c r="G1414" s="14">
        <f>F1414-E1414</f>
        <v/>
      </c>
      <c r="H1414" s="7" t="n">
        <v>64.40000000000001</v>
      </c>
      <c r="I1414" s="7">
        <f>G1414*H1414</f>
        <v/>
      </c>
      <c r="J1414" s="16" t="inlineStr">
        <is>
          <t>لم يُجرد</t>
        </is>
      </c>
      <c r="K1414" s="14" t="n">
        <v>0</v>
      </c>
      <c r="L1414" s="14" t="n">
        <v>1</v>
      </c>
      <c r="M1414" s="5" t="inlineStr"/>
      <c r="N1414" s="5" t="inlineStr"/>
    </row>
    <row r="1415">
      <c r="A1415" s="13" t="inlineStr">
        <is>
          <t>00012939</t>
        </is>
      </c>
      <c r="B1415" s="5" t="inlineStr">
        <is>
          <t>[00012939] TOBRACIN EYE OINT</t>
        </is>
      </c>
      <c r="C1415" s="5" t="inlineStr">
        <is>
          <t>دواء</t>
        </is>
      </c>
      <c r="D1415" s="13" t="inlineStr">
        <is>
          <t>01062511510007441719</t>
        </is>
      </c>
      <c r="E1415" s="14">
        <f>L1415-K1415</f>
        <v/>
      </c>
      <c r="F1415" s="14" t="n">
        <v>0</v>
      </c>
      <c r="G1415" s="14">
        <f>F1415-E1415</f>
        <v/>
      </c>
      <c r="H1415" s="7" t="n">
        <v>10.65</v>
      </c>
      <c r="I1415" s="7">
        <f>G1415*H1415</f>
        <v/>
      </c>
      <c r="J1415" s="16" t="inlineStr">
        <is>
          <t>لم يُجرد</t>
        </is>
      </c>
      <c r="K1415" s="14" t="n">
        <v>0</v>
      </c>
      <c r="L1415" s="14" t="n">
        <v>3</v>
      </c>
      <c r="M1415" s="5" t="inlineStr"/>
      <c r="N1415" s="5" t="inlineStr"/>
    </row>
    <row r="1416">
      <c r="A1416" s="13" t="inlineStr">
        <is>
          <t>00020436</t>
        </is>
      </c>
      <c r="B1416" s="5" t="inlineStr">
        <is>
          <t>[00020436] MONUROL 3G SACHETS</t>
        </is>
      </c>
      <c r="C1416" s="5" t="inlineStr">
        <is>
          <t>دواء</t>
        </is>
      </c>
      <c r="D1416" s="13" t="inlineStr"/>
      <c r="E1416" s="14">
        <f>L1416-K1416</f>
        <v/>
      </c>
      <c r="F1416" s="14" t="n">
        <v>0</v>
      </c>
      <c r="G1416" s="14">
        <f>F1416-E1416</f>
        <v/>
      </c>
      <c r="H1416" s="7" t="n">
        <v>32.25</v>
      </c>
      <c r="I1416" s="7">
        <f>G1416*H1416</f>
        <v/>
      </c>
      <c r="J1416" s="16" t="inlineStr">
        <is>
          <t>لم يُجرد</t>
        </is>
      </c>
      <c r="K1416" s="14" t="n">
        <v>0</v>
      </c>
      <c r="L1416" s="14" t="n">
        <v>1</v>
      </c>
      <c r="M1416" s="5" t="inlineStr"/>
      <c r="N1416" s="5" t="inlineStr"/>
    </row>
    <row r="1417">
      <c r="A1417" s="13" t="inlineStr">
        <is>
          <t>00024297</t>
        </is>
      </c>
      <c r="B1417" s="5" t="inlineStr">
        <is>
          <t>[00024297] LEVOZIN 5MG 20 TAB</t>
        </is>
      </c>
      <c r="C1417" s="5" t="inlineStr">
        <is>
          <t>دواء</t>
        </is>
      </c>
      <c r="D1417" s="13" t="inlineStr"/>
      <c r="E1417" s="14">
        <f>L1417-K1417</f>
        <v/>
      </c>
      <c r="F1417" s="14" t="n">
        <v>0</v>
      </c>
      <c r="G1417" s="14">
        <f>F1417-E1417</f>
        <v/>
      </c>
      <c r="H1417" s="7" t="n">
        <v>15.95</v>
      </c>
      <c r="I1417" s="7">
        <f>G1417*H1417</f>
        <v/>
      </c>
      <c r="J1417" s="16" t="inlineStr">
        <is>
          <t>لم يُجرد</t>
        </is>
      </c>
      <c r="K1417" s="14" t="n">
        <v>0</v>
      </c>
      <c r="L1417" s="14" t="n">
        <v>2</v>
      </c>
      <c r="M1417" s="5" t="inlineStr"/>
      <c r="N1417" s="5" t="inlineStr"/>
    </row>
    <row r="1418">
      <c r="A1418" s="13" t="inlineStr">
        <is>
          <t>0004170</t>
        </is>
      </c>
      <c r="B1418" s="5" t="inlineStr">
        <is>
          <t>[0004170] COMBIGAN EYE DROP*****</t>
        </is>
      </c>
      <c r="C1418" s="5" t="inlineStr">
        <is>
          <t>دواء</t>
        </is>
      </c>
      <c r="D1418" s="13" t="inlineStr"/>
      <c r="E1418" s="14">
        <f>L1418-K1418</f>
        <v/>
      </c>
      <c r="F1418" s="14" t="n">
        <v>0</v>
      </c>
      <c r="G1418" s="14">
        <f>F1418-E1418</f>
        <v/>
      </c>
      <c r="H1418" s="7" t="n">
        <v>31.8</v>
      </c>
      <c r="I1418" s="7">
        <f>G1418*H1418</f>
        <v/>
      </c>
      <c r="J1418" s="16" t="inlineStr">
        <is>
          <t>لم يُجرد</t>
        </is>
      </c>
      <c r="K1418" s="14" t="n">
        <v>0</v>
      </c>
      <c r="L1418" s="14" t="n">
        <v>1</v>
      </c>
      <c r="M1418" s="5" t="inlineStr"/>
      <c r="N1418" s="5" t="inlineStr"/>
    </row>
    <row r="1419">
      <c r="A1419" s="13" t="inlineStr">
        <is>
          <t>0003432</t>
        </is>
      </c>
      <c r="B1419" s="5" t="inlineStr">
        <is>
          <t>[0003432] IPRAMAX 25 MG 60 TAB WASFA</t>
        </is>
      </c>
      <c r="C1419" s="5" t="inlineStr">
        <is>
          <t>دواء</t>
        </is>
      </c>
      <c r="D1419" s="13" t="inlineStr">
        <is>
          <t>6281102232818</t>
        </is>
      </c>
      <c r="E1419" s="14">
        <f>L1419-K1419</f>
        <v/>
      </c>
      <c r="F1419" s="14" t="n">
        <v>0</v>
      </c>
      <c r="G1419" s="14">
        <f>F1419-E1419</f>
        <v/>
      </c>
      <c r="H1419" s="7" t="n">
        <v>31.45</v>
      </c>
      <c r="I1419" s="7">
        <f>G1419*H1419</f>
        <v/>
      </c>
      <c r="J1419" s="16" t="inlineStr">
        <is>
          <t>لم يُجرد</t>
        </is>
      </c>
      <c r="K1419" s="14" t="n">
        <v>0</v>
      </c>
      <c r="L1419" s="14" t="n">
        <v>1</v>
      </c>
      <c r="M1419" s="5" t="inlineStr"/>
      <c r="N1419" s="5" t="inlineStr"/>
    </row>
    <row r="1420">
      <c r="A1420" s="13" t="inlineStr">
        <is>
          <t>00023286</t>
        </is>
      </c>
      <c r="B1420" s="5" t="inlineStr">
        <is>
          <t>[00023286] VIZOL S 0.4 EYE DROP 10ML</t>
        </is>
      </c>
      <c r="C1420" s="5" t="inlineStr">
        <is>
          <t>دواء</t>
        </is>
      </c>
      <c r="D1420" s="13" t="inlineStr">
        <is>
          <t>3856013235468</t>
        </is>
      </c>
      <c r="E1420" s="14">
        <f>L1420-K1420</f>
        <v/>
      </c>
      <c r="F1420" s="14" t="n">
        <v>0</v>
      </c>
      <c r="G1420" s="14">
        <f>F1420-E1420</f>
        <v/>
      </c>
      <c r="H1420" s="7" t="n">
        <v>41</v>
      </c>
      <c r="I1420" s="7">
        <f>G1420*H1420</f>
        <v/>
      </c>
      <c r="J1420" s="16" t="inlineStr">
        <is>
          <t>لم يُجرد</t>
        </is>
      </c>
      <c r="K1420" s="14" t="n">
        <v>0</v>
      </c>
      <c r="L1420" s="14" t="n">
        <v>1</v>
      </c>
      <c r="M1420" s="5" t="inlineStr"/>
      <c r="N1420" s="5" t="inlineStr"/>
    </row>
    <row r="1421">
      <c r="A1421" s="13" t="inlineStr">
        <is>
          <t>00012841</t>
        </is>
      </c>
      <c r="B1421" s="5" t="inlineStr">
        <is>
          <t>[00012841] WAFI 100MG 4 TAB</t>
        </is>
      </c>
      <c r="C1421" s="5" t="inlineStr">
        <is>
          <t>دواء</t>
        </is>
      </c>
      <c r="D1421" s="13" t="inlineStr"/>
      <c r="E1421" s="14">
        <f>L1421-K1421</f>
        <v/>
      </c>
      <c r="F1421" s="14" t="n">
        <v>0</v>
      </c>
      <c r="G1421" s="14">
        <f>F1421-E1421</f>
        <v/>
      </c>
      <c r="H1421" s="7" t="n">
        <v>59.95</v>
      </c>
      <c r="I1421" s="7">
        <f>G1421*H1421</f>
        <v/>
      </c>
      <c r="J1421" s="16" t="inlineStr">
        <is>
          <t>لم يُجرد</t>
        </is>
      </c>
      <c r="K1421" s="14" t="n">
        <v>0</v>
      </c>
      <c r="L1421" s="14" t="n">
        <v>8.25</v>
      </c>
      <c r="M1421" s="5" t="inlineStr"/>
      <c r="N1421" s="5" t="inlineStr"/>
    </row>
    <row r="1422">
      <c r="A1422" s="13" t="inlineStr">
        <is>
          <t>00028043</t>
        </is>
      </c>
      <c r="B1422" s="5" t="inlineStr">
        <is>
          <t>[00028043] MYOREST PLUS PATCH</t>
        </is>
      </c>
      <c r="C1422" s="5" t="inlineStr">
        <is>
          <t>دواء</t>
        </is>
      </c>
      <c r="D1422" s="13" t="inlineStr">
        <is>
          <t>723707604547</t>
        </is>
      </c>
      <c r="E1422" s="14">
        <f>L1422-K1422</f>
        <v/>
      </c>
      <c r="F1422" s="14" t="n">
        <v>0</v>
      </c>
      <c r="G1422" s="14">
        <f>F1422-E1422</f>
        <v/>
      </c>
      <c r="H1422" s="7" t="n">
        <v>43</v>
      </c>
      <c r="I1422" s="7">
        <f>G1422*H1422</f>
        <v/>
      </c>
      <c r="J1422" s="16" t="inlineStr">
        <is>
          <t>لم يُجرد</t>
        </is>
      </c>
      <c r="K1422" s="14" t="n">
        <v>0</v>
      </c>
      <c r="L1422" s="14" t="n">
        <v>1</v>
      </c>
      <c r="M1422" s="5" t="inlineStr"/>
      <c r="N1422" s="5" t="inlineStr"/>
    </row>
    <row r="1423">
      <c r="A1423" s="13" t="inlineStr">
        <is>
          <t>0005221</t>
        </is>
      </c>
      <c r="B1423" s="5" t="inlineStr">
        <is>
          <t>[0005221] PROF 600MG 30 TAB WASFA</t>
        </is>
      </c>
      <c r="C1423" s="5" t="inlineStr">
        <is>
          <t>دواء</t>
        </is>
      </c>
      <c r="D1423" s="13" t="inlineStr"/>
      <c r="E1423" s="14">
        <f>L1423-K1423</f>
        <v/>
      </c>
      <c r="F1423" s="14" t="n">
        <v>0</v>
      </c>
      <c r="G1423" s="14">
        <f>F1423-E1423</f>
        <v/>
      </c>
      <c r="H1423" s="7" t="n">
        <v>15.65</v>
      </c>
      <c r="I1423" s="7">
        <f>G1423*H1423</f>
        <v/>
      </c>
      <c r="J1423" s="16" t="inlineStr">
        <is>
          <t>لم يُجرد</t>
        </is>
      </c>
      <c r="K1423" s="14" t="n">
        <v>0</v>
      </c>
      <c r="L1423" s="14" t="n">
        <v>2</v>
      </c>
      <c r="M1423" s="5" t="inlineStr"/>
      <c r="N1423" s="5" t="inlineStr"/>
    </row>
    <row r="1424">
      <c r="A1424" s="13" t="inlineStr">
        <is>
          <t>0004269</t>
        </is>
      </c>
      <c r="B1424" s="5" t="inlineStr">
        <is>
          <t>[0004269] CETRALON 10MG 10TAB</t>
        </is>
      </c>
      <c r="C1424" s="5" t="inlineStr">
        <is>
          <t>دواء</t>
        </is>
      </c>
      <c r="D1424" s="13" t="inlineStr">
        <is>
          <t>01062911000809841720</t>
        </is>
      </c>
      <c r="E1424" s="14">
        <f>L1424-K1424</f>
        <v/>
      </c>
      <c r="F1424" s="14" t="n">
        <v>0</v>
      </c>
      <c r="G1424" s="14">
        <f>F1424-E1424</f>
        <v/>
      </c>
      <c r="H1424" s="7" t="n">
        <v>10.25</v>
      </c>
      <c r="I1424" s="7">
        <f>G1424*H1424</f>
        <v/>
      </c>
      <c r="J1424" s="16" t="inlineStr">
        <is>
          <t>لم يُجرد</t>
        </is>
      </c>
      <c r="K1424" s="14" t="n">
        <v>0</v>
      </c>
      <c r="L1424" s="14" t="n">
        <v>3</v>
      </c>
      <c r="M1424" s="5" t="inlineStr"/>
      <c r="N1424" s="5" t="inlineStr"/>
    </row>
    <row r="1425">
      <c r="A1425" s="13" t="inlineStr">
        <is>
          <t>0005053</t>
        </is>
      </c>
      <c r="B1425" s="5" t="inlineStr">
        <is>
          <t>[0005053] ROFENAC 75MG AMP/ INJECTION</t>
        </is>
      </c>
      <c r="C1425" s="5" t="inlineStr">
        <is>
          <t>دواء</t>
        </is>
      </c>
      <c r="D1425" s="13" t="inlineStr">
        <is>
          <t>10992401117012417190</t>
        </is>
      </c>
      <c r="E1425" s="14">
        <f>L1425-K1425</f>
        <v/>
      </c>
      <c r="F1425" s="14" t="n">
        <v>0</v>
      </c>
      <c r="G1425" s="14">
        <f>F1425-E1425</f>
        <v/>
      </c>
      <c r="H1425" s="7" t="n">
        <v>30.7</v>
      </c>
      <c r="I1425" s="7">
        <f>G1425*H1425</f>
        <v/>
      </c>
      <c r="J1425" s="16" t="inlineStr">
        <is>
          <t>لم يُجرد</t>
        </is>
      </c>
      <c r="K1425" s="14" t="n">
        <v>0</v>
      </c>
      <c r="L1425" s="14" t="n">
        <v>1</v>
      </c>
      <c r="M1425" s="5" t="inlineStr"/>
      <c r="N1425" s="5" t="inlineStr"/>
    </row>
    <row r="1426">
      <c r="A1426" s="13" t="inlineStr">
        <is>
          <t>00028998</t>
        </is>
      </c>
      <c r="B1426" s="5" t="inlineStr">
        <is>
          <t>[00028998] CAL CHEW 30 CHEW TAB</t>
        </is>
      </c>
      <c r="C1426" s="5" t="inlineStr">
        <is>
          <t>دواء</t>
        </is>
      </c>
      <c r="D1426" s="13" t="inlineStr">
        <is>
          <t>0748515537627</t>
        </is>
      </c>
      <c r="E1426" s="14">
        <f>L1426-K1426</f>
        <v/>
      </c>
      <c r="F1426" s="14" t="n">
        <v>0</v>
      </c>
      <c r="G1426" s="14">
        <f>F1426-E1426</f>
        <v/>
      </c>
      <c r="H1426" s="7" t="n">
        <v>59</v>
      </c>
      <c r="I1426" s="7">
        <f>G1426*H1426</f>
        <v/>
      </c>
      <c r="J1426" s="16" t="inlineStr">
        <is>
          <t>لم يُجرد</t>
        </is>
      </c>
      <c r="K1426" s="14" t="n">
        <v>0</v>
      </c>
      <c r="L1426" s="14" t="n">
        <v>1</v>
      </c>
      <c r="M1426" s="5" t="inlineStr"/>
      <c r="N1426" s="5" t="inlineStr"/>
    </row>
    <row r="1427">
      <c r="A1427" s="13" t="inlineStr">
        <is>
          <t>0003845</t>
        </is>
      </c>
      <c r="B1427" s="5" t="inlineStr">
        <is>
          <t>[0003845] EZOLVIN 4MG SYRUP</t>
        </is>
      </c>
      <c r="C1427" s="5" t="inlineStr">
        <is>
          <t>دواء</t>
        </is>
      </c>
      <c r="D1427" s="13" t="inlineStr">
        <is>
          <t>01062850850003271721</t>
        </is>
      </c>
      <c r="E1427" s="14">
        <f>L1427-K1427</f>
        <v/>
      </c>
      <c r="F1427" s="14" t="n">
        <v>0</v>
      </c>
      <c r="G1427" s="14">
        <f>F1427-E1427</f>
        <v/>
      </c>
      <c r="H1427" s="7" t="n">
        <v>7.6</v>
      </c>
      <c r="I1427" s="7">
        <f>G1427*H1427</f>
        <v/>
      </c>
      <c r="J1427" s="16" t="inlineStr">
        <is>
          <t>لم يُجرد</t>
        </is>
      </c>
      <c r="K1427" s="14" t="n">
        <v>0</v>
      </c>
      <c r="L1427" s="14" t="n">
        <v>4</v>
      </c>
      <c r="M1427" s="5" t="inlineStr"/>
      <c r="N1427" s="5" t="inlineStr"/>
    </row>
    <row r="1428">
      <c r="A1428" s="13" t="inlineStr">
        <is>
          <t>0005369</t>
        </is>
      </c>
      <c r="B1428" s="5" t="inlineStr">
        <is>
          <t>[0005369] OTOCOL EAR DROPS</t>
        </is>
      </c>
      <c r="C1428" s="5" t="inlineStr">
        <is>
          <t>دواء</t>
        </is>
      </c>
      <c r="D1428" s="13" t="inlineStr">
        <is>
          <t>06251151000140</t>
        </is>
      </c>
      <c r="E1428" s="14">
        <f>L1428-K1428</f>
        <v/>
      </c>
      <c r="F1428" s="14" t="n">
        <v>0</v>
      </c>
      <c r="G1428" s="14">
        <f>F1428-E1428</f>
        <v/>
      </c>
      <c r="H1428" s="7" t="n">
        <v>7.6</v>
      </c>
      <c r="I1428" s="7">
        <f>G1428*H1428</f>
        <v/>
      </c>
      <c r="J1428" s="16" t="inlineStr">
        <is>
          <t>لم يُجرد</t>
        </is>
      </c>
      <c r="K1428" s="14" t="n">
        <v>0</v>
      </c>
      <c r="L1428" s="14" t="n">
        <v>4</v>
      </c>
      <c r="M1428" s="5" t="inlineStr"/>
      <c r="N1428" s="5" t="inlineStr"/>
    </row>
    <row r="1429">
      <c r="A1429" s="13" t="inlineStr">
        <is>
          <t>00037932</t>
        </is>
      </c>
      <c r="B1429" s="5" t="inlineStr">
        <is>
          <t>[00037932] NOSLIN SPRAY</t>
        </is>
      </c>
      <c r="C1429" s="5" t="inlineStr">
        <is>
          <t>دواء</t>
        </is>
      </c>
      <c r="D1429" s="13" t="inlineStr">
        <is>
          <t>6285756004890</t>
        </is>
      </c>
      <c r="E1429" s="14">
        <f>L1429-K1429</f>
        <v/>
      </c>
      <c r="F1429" s="14" t="n">
        <v>0</v>
      </c>
      <c r="G1429" s="14">
        <f>F1429-E1429</f>
        <v/>
      </c>
      <c r="H1429" s="7" t="n">
        <v>30.43</v>
      </c>
      <c r="I1429" s="7">
        <f>G1429*H1429</f>
        <v/>
      </c>
      <c r="J1429" s="16" t="inlineStr">
        <is>
          <t>لم يُجرد</t>
        </is>
      </c>
      <c r="K1429" s="14" t="n">
        <v>0</v>
      </c>
      <c r="L1429" s="14" t="n">
        <v>2</v>
      </c>
      <c r="M1429" s="5" t="inlineStr"/>
      <c r="N1429" s="5" t="inlineStr"/>
    </row>
    <row r="1430">
      <c r="A1430" s="13" t="inlineStr">
        <is>
          <t>0005021</t>
        </is>
      </c>
      <c r="B1430" s="5" t="inlineStr">
        <is>
          <t>[0005021] I PROFEN 400 MG 30 TAB</t>
        </is>
      </c>
      <c r="C1430" s="5" t="inlineStr">
        <is>
          <t>دواء</t>
        </is>
      </c>
      <c r="D1430" s="13" t="inlineStr">
        <is>
          <t>01062850850009071720</t>
        </is>
      </c>
      <c r="E1430" s="14">
        <f>L1430-K1430</f>
        <v/>
      </c>
      <c r="F1430" s="14" t="n">
        <v>0</v>
      </c>
      <c r="G1430" s="14">
        <f>F1430-E1430</f>
        <v/>
      </c>
      <c r="H1430" s="7" t="n">
        <v>10.1</v>
      </c>
      <c r="I1430" s="7">
        <f>G1430*H1430</f>
        <v/>
      </c>
      <c r="J1430" s="16" t="inlineStr">
        <is>
          <t>لم يُجرد</t>
        </is>
      </c>
      <c r="K1430" s="14" t="n">
        <v>0</v>
      </c>
      <c r="L1430" s="14" t="n">
        <v>3</v>
      </c>
      <c r="M1430" s="5" t="inlineStr"/>
      <c r="N1430" s="5" t="inlineStr"/>
    </row>
    <row r="1431">
      <c r="A1431" s="13" t="inlineStr">
        <is>
          <t>00035656</t>
        </is>
      </c>
      <c r="B1431" s="5" t="inlineStr">
        <is>
          <t>[00035656] CAPOCARD 25 MG 20TAB WASFA</t>
        </is>
      </c>
      <c r="C1431" s="5" t="inlineStr">
        <is>
          <t>دواء</t>
        </is>
      </c>
      <c r="D1431" s="13" t="inlineStr">
        <is>
          <t>6251107005014</t>
        </is>
      </c>
      <c r="E1431" s="14">
        <f>L1431-K1431</f>
        <v/>
      </c>
      <c r="F1431" s="14" t="n">
        <v>0</v>
      </c>
      <c r="G1431" s="14">
        <f>F1431-E1431</f>
        <v/>
      </c>
      <c r="H1431" s="7" t="n">
        <v>15.15</v>
      </c>
      <c r="I1431" s="7">
        <f>G1431*H1431</f>
        <v/>
      </c>
      <c r="J1431" s="16" t="inlineStr">
        <is>
          <t>لم يُجرد</t>
        </is>
      </c>
      <c r="K1431" s="14" t="n">
        <v>0</v>
      </c>
      <c r="L1431" s="14" t="n">
        <v>2</v>
      </c>
      <c r="M1431" s="5" t="inlineStr"/>
      <c r="N1431" s="5" t="inlineStr"/>
    </row>
    <row r="1432">
      <c r="A1432" s="13" t="inlineStr">
        <is>
          <t>00018870</t>
        </is>
      </c>
      <c r="B1432" s="5" t="inlineStr">
        <is>
          <t>[00018870] RAFOL 5MG TAB</t>
        </is>
      </c>
      <c r="C1432" s="5" t="inlineStr">
        <is>
          <t>دواء</t>
        </is>
      </c>
      <c r="D1432" s="13" t="inlineStr"/>
      <c r="E1432" s="14">
        <f>L1432-K1432</f>
        <v/>
      </c>
      <c r="F1432" s="14" t="n">
        <v>0</v>
      </c>
      <c r="G1432" s="14">
        <f>F1432-E1432</f>
        <v/>
      </c>
      <c r="H1432" s="7" t="n">
        <v>15.3</v>
      </c>
      <c r="I1432" s="7">
        <f>G1432*H1432</f>
        <v/>
      </c>
      <c r="J1432" s="16" t="inlineStr">
        <is>
          <t>لم يُجرد</t>
        </is>
      </c>
      <c r="K1432" s="14" t="n">
        <v>0</v>
      </c>
      <c r="L1432" s="14" t="n">
        <v>2</v>
      </c>
      <c r="M1432" s="5" t="inlineStr"/>
      <c r="N1432" s="5" t="inlineStr"/>
    </row>
    <row r="1433">
      <c r="A1433" s="13" t="inlineStr">
        <is>
          <t>0004765</t>
        </is>
      </c>
      <c r="B1433" s="5" t="inlineStr">
        <is>
          <t>[0004765] TEGRETOL 200MG 50 TAB</t>
        </is>
      </c>
      <c r="C1433" s="5" t="inlineStr">
        <is>
          <t>دواء</t>
        </is>
      </c>
      <c r="D1433" s="13" t="inlineStr">
        <is>
          <t>07612791003318</t>
        </is>
      </c>
      <c r="E1433" s="14">
        <f>L1433-K1433</f>
        <v/>
      </c>
      <c r="F1433" s="14" t="n">
        <v>0</v>
      </c>
      <c r="G1433" s="14">
        <f>F1433-E1433</f>
        <v/>
      </c>
      <c r="H1433" s="7" t="n">
        <v>30.1</v>
      </c>
      <c r="I1433" s="7">
        <f>G1433*H1433</f>
        <v/>
      </c>
      <c r="J1433" s="16" t="inlineStr">
        <is>
          <t>لم يُجرد</t>
        </is>
      </c>
      <c r="K1433" s="14" t="n">
        <v>0</v>
      </c>
      <c r="L1433" s="14" t="n">
        <v>1</v>
      </c>
      <c r="M1433" s="5" t="inlineStr"/>
      <c r="N1433" s="5" t="inlineStr"/>
    </row>
    <row r="1434">
      <c r="A1434" s="13" t="inlineStr">
        <is>
          <t>0004507</t>
        </is>
      </c>
      <c r="B1434" s="5" t="inlineStr">
        <is>
          <t>[0004507] ZERTAZINE SYRUP 100ML</t>
        </is>
      </c>
      <c r="C1434" s="5" t="inlineStr">
        <is>
          <t>دواء</t>
        </is>
      </c>
      <c r="D1434" s="13" t="inlineStr">
        <is>
          <t>6281080001079</t>
        </is>
      </c>
      <c r="E1434" s="14">
        <f>L1434-K1434</f>
        <v/>
      </c>
      <c r="F1434" s="14" t="n">
        <v>0</v>
      </c>
      <c r="G1434" s="14">
        <f>F1434-E1434</f>
        <v/>
      </c>
      <c r="H1434" s="7" t="n">
        <v>11.8</v>
      </c>
      <c r="I1434" s="7">
        <f>G1434*H1434</f>
        <v/>
      </c>
      <c r="J1434" s="16" t="inlineStr">
        <is>
          <t>لم يُجرد</t>
        </is>
      </c>
      <c r="K1434" s="14" t="n">
        <v>0</v>
      </c>
      <c r="L1434" s="14" t="n">
        <v>5</v>
      </c>
      <c r="M1434" s="5" t="inlineStr"/>
      <c r="N1434" s="5" t="inlineStr"/>
    </row>
    <row r="1435">
      <c r="A1435" s="13" t="inlineStr">
        <is>
          <t>00047789</t>
        </is>
      </c>
      <c r="B1435" s="5" t="inlineStr">
        <is>
          <t>[00047789] RACAD 10 MG TAB</t>
        </is>
      </c>
      <c r="C1435" s="5" t="inlineStr">
        <is>
          <t>دواء</t>
        </is>
      </c>
      <c r="D1435" s="13" t="inlineStr"/>
      <c r="E1435" s="14">
        <f>L1435-K1435</f>
        <v/>
      </c>
      <c r="F1435" s="14" t="n">
        <v>0</v>
      </c>
      <c r="G1435" s="14">
        <f>F1435-E1435</f>
        <v/>
      </c>
      <c r="H1435" s="7" t="n">
        <v>29.95</v>
      </c>
      <c r="I1435" s="7">
        <f>G1435*H1435</f>
        <v/>
      </c>
      <c r="J1435" s="16" t="inlineStr">
        <is>
          <t>لم يُجرد</t>
        </is>
      </c>
      <c r="K1435" s="14" t="n">
        <v>0</v>
      </c>
      <c r="L1435" s="14" t="n">
        <v>1</v>
      </c>
      <c r="M1435" s="5" t="inlineStr"/>
      <c r="N1435" s="5" t="inlineStr"/>
    </row>
    <row r="1436">
      <c r="A1436" s="13" t="inlineStr">
        <is>
          <t>0005837</t>
        </is>
      </c>
      <c r="B1436" s="5" t="inlineStr">
        <is>
          <t>[0005837] AUGMENTIN 457MG SYRUP 70ML</t>
        </is>
      </c>
      <c r="C1436" s="5" t="inlineStr">
        <is>
          <t>دواء</t>
        </is>
      </c>
      <c r="D1436" s="13" t="inlineStr">
        <is>
          <t>01062850970000871719</t>
        </is>
      </c>
      <c r="E1436" s="14">
        <f>L1436-K1436</f>
        <v/>
      </c>
      <c r="F1436" s="14" t="n">
        <v>0</v>
      </c>
      <c r="G1436" s="14">
        <f>F1436-E1436</f>
        <v/>
      </c>
      <c r="H1436" s="7" t="n">
        <v>33.05</v>
      </c>
      <c r="I1436" s="7">
        <f>G1436*H1436</f>
        <v/>
      </c>
      <c r="J1436" s="16" t="inlineStr">
        <is>
          <t>لم يُجرد</t>
        </is>
      </c>
      <c r="K1436" s="14" t="n">
        <v>0</v>
      </c>
      <c r="L1436" s="14" t="n">
        <v>1</v>
      </c>
      <c r="M1436" s="5" t="inlineStr"/>
      <c r="N1436" s="5" t="inlineStr"/>
    </row>
    <row r="1437">
      <c r="A1437" s="13" t="inlineStr">
        <is>
          <t>0004950</t>
        </is>
      </c>
      <c r="B1437" s="5" t="inlineStr">
        <is>
          <t>[0004950] SYSTANE DROPS 15ML*****</t>
        </is>
      </c>
      <c r="C1437" s="5" t="inlineStr">
        <is>
          <t>دواء</t>
        </is>
      </c>
      <c r="D1437" s="13" t="inlineStr">
        <is>
          <t>01003006504297712112</t>
        </is>
      </c>
      <c r="E1437" s="14">
        <f>L1437-K1437</f>
        <v/>
      </c>
      <c r="F1437" s="14" t="n">
        <v>0</v>
      </c>
      <c r="G1437" s="14">
        <f>F1437-E1437</f>
        <v/>
      </c>
      <c r="H1437" s="7" t="n">
        <v>31.05</v>
      </c>
      <c r="I1437" s="7">
        <f>G1437*H1437</f>
        <v/>
      </c>
      <c r="J1437" s="16" t="inlineStr">
        <is>
          <t>لم يُجرد</t>
        </is>
      </c>
      <c r="K1437" s="14" t="n">
        <v>0</v>
      </c>
      <c r="L1437" s="14" t="n">
        <v>1</v>
      </c>
      <c r="M1437" s="5" t="inlineStr"/>
      <c r="N1437" s="5" t="inlineStr"/>
    </row>
    <row r="1438">
      <c r="A1438" s="13" t="inlineStr">
        <is>
          <t>0005578</t>
        </is>
      </c>
      <c r="B1438" s="5" t="inlineStr">
        <is>
          <t>[0005578] MOBIC 15MG 30TAB*****</t>
        </is>
      </c>
      <c r="C1438" s="5" t="inlineStr">
        <is>
          <t>دواء</t>
        </is>
      </c>
      <c r="D1438" s="13" t="inlineStr">
        <is>
          <t>06285079000760</t>
        </is>
      </c>
      <c r="E1438" s="14">
        <f>L1438-K1438</f>
        <v/>
      </c>
      <c r="F1438" s="14" t="n">
        <v>0</v>
      </c>
      <c r="G1438" s="14">
        <f>F1438-E1438</f>
        <v/>
      </c>
      <c r="H1438" s="7" t="n">
        <v>44.45</v>
      </c>
      <c r="I1438" s="7">
        <f>G1438*H1438</f>
        <v/>
      </c>
      <c r="J1438" s="16" t="inlineStr">
        <is>
          <t>لم يُجرد</t>
        </is>
      </c>
      <c r="K1438" s="14" t="n">
        <v>0</v>
      </c>
      <c r="L1438" s="14" t="n">
        <v>0.67</v>
      </c>
      <c r="M1438" s="5" t="inlineStr"/>
      <c r="N1438" s="5" t="inlineStr"/>
    </row>
    <row r="1439">
      <c r="A1439" s="13" t="inlineStr">
        <is>
          <t>00039265</t>
        </is>
      </c>
      <c r="B1439" s="5" t="inlineStr">
        <is>
          <t>[00039265] ESSENTIAL-D 5000 IU 100 CAPS</t>
        </is>
      </c>
      <c r="C1439" s="5" t="inlineStr">
        <is>
          <t>دواء</t>
        </is>
      </c>
      <c r="D1439" s="13" t="inlineStr"/>
      <c r="E1439" s="14">
        <f>L1439-K1439</f>
        <v/>
      </c>
      <c r="F1439" s="14" t="n">
        <v>0</v>
      </c>
      <c r="G1439" s="14">
        <f>F1439-E1439</f>
        <v/>
      </c>
      <c r="H1439" s="7" t="n">
        <v>55</v>
      </c>
      <c r="I1439" s="7">
        <f>G1439*H1439</f>
        <v/>
      </c>
      <c r="J1439" s="16" t="inlineStr">
        <is>
          <t>لم يُجرد</t>
        </is>
      </c>
      <c r="K1439" s="14" t="n">
        <v>0</v>
      </c>
      <c r="L1439" s="14" t="n">
        <v>1</v>
      </c>
      <c r="M1439" s="5" t="inlineStr"/>
      <c r="N1439" s="5" t="inlineStr"/>
    </row>
    <row r="1440">
      <c r="A1440" s="13" t="inlineStr">
        <is>
          <t>00023287</t>
        </is>
      </c>
      <c r="B1440" s="5" t="inlineStr">
        <is>
          <t>[00023287] VIZOL S 0.21 EYE DROP 10ML</t>
        </is>
      </c>
      <c r="C1440" s="5" t="inlineStr">
        <is>
          <t>دواء</t>
        </is>
      </c>
      <c r="D1440" s="13" t="inlineStr">
        <is>
          <t>3856013235451</t>
        </is>
      </c>
      <c r="E1440" s="14">
        <f>L1440-K1440</f>
        <v/>
      </c>
      <c r="F1440" s="14" t="n">
        <v>0</v>
      </c>
      <c r="G1440" s="14">
        <f>F1440-E1440</f>
        <v/>
      </c>
      <c r="H1440" s="7" t="n">
        <v>41</v>
      </c>
      <c r="I1440" s="7">
        <f>G1440*H1440</f>
        <v/>
      </c>
      <c r="J1440" s="16" t="inlineStr">
        <is>
          <t>لم يُجرد</t>
        </is>
      </c>
      <c r="K1440" s="14" t="n">
        <v>0</v>
      </c>
      <c r="L1440" s="14" t="n">
        <v>1</v>
      </c>
      <c r="M1440" s="5" t="inlineStr"/>
      <c r="N1440" s="5" t="inlineStr"/>
    </row>
    <row r="1441">
      <c r="A1441" s="13" t="inlineStr">
        <is>
          <t>00026382</t>
        </is>
      </c>
      <c r="B1441" s="5" t="inlineStr">
        <is>
          <t>[00026382] ARBITEN 160/12.5MG 30TAB</t>
        </is>
      </c>
      <c r="C1441" s="5" t="inlineStr">
        <is>
          <t>دواء</t>
        </is>
      </c>
      <c r="D1441" s="13" t="inlineStr"/>
      <c r="E1441" s="14">
        <f>L1441-K1441</f>
        <v/>
      </c>
      <c r="F1441" s="14" t="n">
        <v>0</v>
      </c>
      <c r="G1441" s="14">
        <f>F1441-E1441</f>
        <v/>
      </c>
      <c r="H1441" s="7" t="n">
        <v>32.5</v>
      </c>
      <c r="I1441" s="7">
        <f>G1441*H1441</f>
        <v/>
      </c>
      <c r="J1441" s="16" t="inlineStr">
        <is>
          <t>لم يُجرد</t>
        </is>
      </c>
      <c r="K1441" s="14" t="n">
        <v>0</v>
      </c>
      <c r="L1441" s="14" t="n">
        <v>1</v>
      </c>
      <c r="M1441" s="5" t="inlineStr"/>
      <c r="N1441" s="5" t="inlineStr"/>
    </row>
    <row r="1442">
      <c r="A1442" s="13" t="inlineStr">
        <is>
          <t>0005688</t>
        </is>
      </c>
      <c r="B1442" s="5" t="inlineStr">
        <is>
          <t>[0005688] METFOR 850 MG 60 TAB</t>
        </is>
      </c>
      <c r="C1442" s="5" t="inlineStr">
        <is>
          <t>دواء</t>
        </is>
      </c>
      <c r="D1442" s="13" t="inlineStr">
        <is>
          <t>6281102231262</t>
        </is>
      </c>
      <c r="E1442" s="14">
        <f>L1442-K1442</f>
        <v/>
      </c>
      <c r="F1442" s="14" t="n">
        <v>0</v>
      </c>
      <c r="G1442" s="14">
        <f>F1442-E1442</f>
        <v/>
      </c>
      <c r="H1442" s="7" t="n">
        <v>29.26</v>
      </c>
      <c r="I1442" s="7">
        <f>G1442*H1442</f>
        <v/>
      </c>
      <c r="J1442" s="16" t="inlineStr">
        <is>
          <t>لم يُجرد</t>
        </is>
      </c>
      <c r="K1442" s="14" t="n">
        <v>0</v>
      </c>
      <c r="L1442" s="14" t="n">
        <v>1</v>
      </c>
      <c r="M1442" s="5" t="inlineStr"/>
      <c r="N1442" s="5" t="inlineStr"/>
    </row>
    <row r="1443">
      <c r="A1443" s="13" t="inlineStr">
        <is>
          <t>00047790</t>
        </is>
      </c>
      <c r="B1443" s="5" t="inlineStr">
        <is>
          <t>[00047790] RACAD 30 MG TAB</t>
        </is>
      </c>
      <c r="C1443" s="5" t="inlineStr">
        <is>
          <t>دواء</t>
        </is>
      </c>
      <c r="D1443" s="13" t="inlineStr"/>
      <c r="E1443" s="14">
        <f>L1443-K1443</f>
        <v/>
      </c>
      <c r="F1443" s="14" t="n">
        <v>0</v>
      </c>
      <c r="G1443" s="14">
        <f>F1443-E1443</f>
        <v/>
      </c>
      <c r="H1443" s="7" t="n">
        <v>29.15</v>
      </c>
      <c r="I1443" s="7">
        <f>G1443*H1443</f>
        <v/>
      </c>
      <c r="J1443" s="16" t="inlineStr">
        <is>
          <t>لم يُجرد</t>
        </is>
      </c>
      <c r="K1443" s="14" t="n">
        <v>0</v>
      </c>
      <c r="L1443" s="14" t="n">
        <v>1</v>
      </c>
      <c r="M1443" s="5" t="inlineStr"/>
      <c r="N1443" s="5" t="inlineStr"/>
    </row>
    <row r="1444">
      <c r="A1444" s="13" t="inlineStr">
        <is>
          <t>0005173</t>
        </is>
      </c>
      <c r="B1444" s="5" t="inlineStr">
        <is>
          <t>[0005173] RAPIDUS 50MG 20 TAB</t>
        </is>
      </c>
      <c r="C1444" s="5" t="inlineStr">
        <is>
          <t>دواء</t>
        </is>
      </c>
      <c r="D1444" s="13" t="inlineStr">
        <is>
          <t>06285147003730</t>
        </is>
      </c>
      <c r="E1444" s="14">
        <f>L1444-K1444</f>
        <v/>
      </c>
      <c r="F1444" s="14" t="n">
        <v>0</v>
      </c>
      <c r="G1444" s="14">
        <f>F1444-E1444</f>
        <v/>
      </c>
      <c r="H1444" s="7" t="n">
        <v>29.1</v>
      </c>
      <c r="I1444" s="7">
        <f>G1444*H1444</f>
        <v/>
      </c>
      <c r="J1444" s="16" t="inlineStr">
        <is>
          <t>لم يُجرد</t>
        </is>
      </c>
      <c r="K1444" s="14" t="n">
        <v>0</v>
      </c>
      <c r="L1444" s="14" t="n">
        <v>1</v>
      </c>
      <c r="M1444" s="5" t="inlineStr"/>
      <c r="N1444" s="5" t="inlineStr"/>
    </row>
    <row r="1445">
      <c r="A1445" s="13" t="inlineStr">
        <is>
          <t>0005707</t>
        </is>
      </c>
      <c r="B1445" s="5" t="inlineStr">
        <is>
          <t>[0005707] MICROLUT TAB 35 S 03MG</t>
        </is>
      </c>
      <c r="C1445" s="5" t="inlineStr">
        <is>
          <t>دواء</t>
        </is>
      </c>
      <c r="D1445" s="13" t="inlineStr">
        <is>
          <t>01062850740004752158</t>
        </is>
      </c>
      <c r="E1445" s="14">
        <f>L1445-K1445</f>
        <v/>
      </c>
      <c r="F1445" s="14" t="n">
        <v>0</v>
      </c>
      <c r="G1445" s="14">
        <f>F1445-E1445</f>
        <v/>
      </c>
      <c r="H1445" s="7" t="n">
        <v>14.55</v>
      </c>
      <c r="I1445" s="7">
        <f>G1445*H1445</f>
        <v/>
      </c>
      <c r="J1445" s="16" t="inlineStr">
        <is>
          <t>لم يُجرد</t>
        </is>
      </c>
      <c r="K1445" s="14" t="n">
        <v>0</v>
      </c>
      <c r="L1445" s="14" t="n">
        <v>2</v>
      </c>
      <c r="M1445" s="5" t="inlineStr"/>
      <c r="N1445" s="5" t="inlineStr"/>
    </row>
    <row r="1446">
      <c r="A1446" s="13" t="inlineStr">
        <is>
          <t>0003619</t>
        </is>
      </c>
      <c r="B1446" s="5" t="inlineStr">
        <is>
          <t>[0003619] FLEET CHILD ENEMA 66.6 ML</t>
        </is>
      </c>
      <c r="C1446" s="5" t="inlineStr">
        <is>
          <t>دواء</t>
        </is>
      </c>
      <c r="D1446" s="13" t="inlineStr">
        <is>
          <t>00301320005264</t>
        </is>
      </c>
      <c r="E1446" s="14">
        <f>L1446-K1446</f>
        <v/>
      </c>
      <c r="F1446" s="14" t="n">
        <v>0</v>
      </c>
      <c r="G1446" s="14">
        <f>F1446-E1446</f>
        <v/>
      </c>
      <c r="H1446" s="7" t="n">
        <v>15.5</v>
      </c>
      <c r="I1446" s="7">
        <f>G1446*H1446</f>
        <v/>
      </c>
      <c r="J1446" s="16" t="inlineStr">
        <is>
          <t>لم يُجرد</t>
        </is>
      </c>
      <c r="K1446" s="14" t="n">
        <v>0</v>
      </c>
      <c r="L1446" s="14" t="n">
        <v>2</v>
      </c>
      <c r="M1446" s="5" t="inlineStr"/>
      <c r="N1446" s="5" t="inlineStr"/>
    </row>
    <row r="1447">
      <c r="A1447" s="13" t="inlineStr">
        <is>
          <t>00019243</t>
        </is>
      </c>
      <c r="B1447" s="5" t="inlineStr">
        <is>
          <t>[00019243] METAZ LOTION</t>
        </is>
      </c>
      <c r="C1447" s="5" t="inlineStr">
        <is>
          <t>دواء</t>
        </is>
      </c>
      <c r="D1447" s="13" t="inlineStr"/>
      <c r="E1447" s="14">
        <f>L1447-K1447</f>
        <v/>
      </c>
      <c r="F1447" s="14" t="n">
        <v>0</v>
      </c>
      <c r="G1447" s="14">
        <f>F1447-E1447</f>
        <v/>
      </c>
      <c r="H1447" s="7" t="n">
        <v>31.5</v>
      </c>
      <c r="I1447" s="7">
        <f>G1447*H1447</f>
        <v/>
      </c>
      <c r="J1447" s="16" t="inlineStr">
        <is>
          <t>لم يُجرد</t>
        </is>
      </c>
      <c r="K1447" s="14" t="n">
        <v>0</v>
      </c>
      <c r="L1447" s="14" t="n">
        <v>1</v>
      </c>
      <c r="M1447" s="5" t="inlineStr"/>
      <c r="N1447" s="5" t="inlineStr"/>
    </row>
    <row r="1448">
      <c r="A1448" s="13" t="inlineStr">
        <is>
          <t>0003817</t>
        </is>
      </c>
      <c r="B1448" s="5" t="inlineStr">
        <is>
          <t>[0003817] FASTFLAM 50MG 20 TAB</t>
        </is>
      </c>
      <c r="C1448" s="5" t="inlineStr">
        <is>
          <t>دواء</t>
        </is>
      </c>
      <c r="D1448" s="13" t="inlineStr"/>
      <c r="E1448" s="14">
        <f>L1448-K1448</f>
        <v/>
      </c>
      <c r="F1448" s="14" t="n">
        <v>0</v>
      </c>
      <c r="G1448" s="14">
        <f>F1448-E1448</f>
        <v/>
      </c>
      <c r="H1448" s="7" t="n">
        <v>26.95</v>
      </c>
      <c r="I1448" s="7">
        <f>G1448*H1448</f>
        <v/>
      </c>
      <c r="J1448" s="16" t="inlineStr">
        <is>
          <t>لم يُجرد</t>
        </is>
      </c>
      <c r="K1448" s="14" t="n">
        <v>0</v>
      </c>
      <c r="L1448" s="14" t="n">
        <v>2</v>
      </c>
      <c r="M1448" s="5" t="inlineStr"/>
      <c r="N1448" s="5" t="inlineStr"/>
    </row>
    <row r="1449">
      <c r="A1449" s="13" t="inlineStr">
        <is>
          <t>00038141</t>
        </is>
      </c>
      <c r="B1449" s="5" t="inlineStr">
        <is>
          <t>[00038141] MOHRA 30 CAP</t>
        </is>
      </c>
      <c r="C1449" s="5" t="inlineStr">
        <is>
          <t>دواء</t>
        </is>
      </c>
      <c r="D1449" s="13" t="inlineStr">
        <is>
          <t>795697003440</t>
        </is>
      </c>
      <c r="E1449" s="14">
        <f>L1449-K1449</f>
        <v/>
      </c>
      <c r="F1449" s="14" t="n">
        <v>0</v>
      </c>
      <c r="G1449" s="14">
        <f>F1449-E1449</f>
        <v/>
      </c>
      <c r="H1449" s="7" t="n">
        <v>189</v>
      </c>
      <c r="I1449" s="7">
        <f>G1449*H1449</f>
        <v/>
      </c>
      <c r="J1449" s="16" t="inlineStr">
        <is>
          <t>لم يُجرد</t>
        </is>
      </c>
      <c r="K1449" s="14" t="n">
        <v>0</v>
      </c>
      <c r="L1449" s="14" t="n">
        <v>2</v>
      </c>
      <c r="M1449" s="5" t="inlineStr"/>
      <c r="N1449" s="5" t="inlineStr"/>
    </row>
    <row r="1450">
      <c r="A1450" s="13" t="inlineStr">
        <is>
          <t>0005562</t>
        </is>
      </c>
      <c r="B1450" s="5" t="inlineStr">
        <is>
          <t>[0005562] MOXAL PLUS SUSPENSION</t>
        </is>
      </c>
      <c r="C1450" s="5" t="inlineStr">
        <is>
          <t>دواء</t>
        </is>
      </c>
      <c r="D1450" s="13" t="inlineStr">
        <is>
          <t>01062911000812571719</t>
        </is>
      </c>
      <c r="E1450" s="14">
        <f>L1450-K1450</f>
        <v/>
      </c>
      <c r="F1450" s="14" t="n">
        <v>0</v>
      </c>
      <c r="G1450" s="14">
        <f>F1450-E1450</f>
        <v/>
      </c>
      <c r="H1450" s="7" t="n">
        <v>5.65</v>
      </c>
      <c r="I1450" s="7">
        <f>G1450*H1450</f>
        <v/>
      </c>
      <c r="J1450" s="16" t="inlineStr">
        <is>
          <t>لم يُجرد</t>
        </is>
      </c>
      <c r="K1450" s="14" t="n">
        <v>0</v>
      </c>
      <c r="L1450" s="14" t="n">
        <v>5</v>
      </c>
      <c r="M1450" s="5" t="inlineStr"/>
      <c r="N1450" s="5" t="inlineStr"/>
    </row>
    <row r="1451">
      <c r="A1451" s="13" t="inlineStr">
        <is>
          <t>00035719</t>
        </is>
      </c>
      <c r="B1451" s="5" t="inlineStr">
        <is>
          <t>[00035719] VISULAC HA 0.4 EYE DROPS</t>
        </is>
      </c>
      <c r="C1451" s="5" t="inlineStr">
        <is>
          <t>دواء</t>
        </is>
      </c>
      <c r="D1451" s="13" t="inlineStr">
        <is>
          <t>8034135273949</t>
        </is>
      </c>
      <c r="E1451" s="14">
        <f>L1451-K1451</f>
        <v/>
      </c>
      <c r="F1451" s="14" t="n">
        <v>0</v>
      </c>
      <c r="G1451" s="14">
        <f>F1451-E1451</f>
        <v/>
      </c>
      <c r="H1451" s="7" t="n">
        <v>80.73</v>
      </c>
      <c r="I1451" s="7">
        <f>G1451*H1451</f>
        <v/>
      </c>
      <c r="J1451" s="16" t="inlineStr">
        <is>
          <t>لم يُجرد</t>
        </is>
      </c>
      <c r="K1451" s="14" t="n">
        <v>0</v>
      </c>
      <c r="L1451" s="14" t="n">
        <v>2</v>
      </c>
      <c r="M1451" s="5" t="inlineStr"/>
      <c r="N1451" s="5" t="inlineStr"/>
    </row>
    <row r="1452">
      <c r="A1452" s="13" t="inlineStr">
        <is>
          <t>00027758</t>
        </is>
      </c>
      <c r="B1452" s="5" t="inlineStr">
        <is>
          <t>[00027758] LIMITLESS FORTALASE SYRUP ORIGINAL 80ML</t>
        </is>
      </c>
      <c r="C1452" s="5" t="inlineStr">
        <is>
          <t>دواء</t>
        </is>
      </c>
      <c r="D1452" s="13" t="inlineStr">
        <is>
          <t>6223012480309</t>
        </is>
      </c>
      <c r="E1452" s="14">
        <f>L1452-K1452</f>
        <v/>
      </c>
      <c r="F1452" s="14" t="n">
        <v>0</v>
      </c>
      <c r="G1452" s="14">
        <f>F1452-E1452</f>
        <v/>
      </c>
      <c r="H1452" s="7" t="n">
        <v>27.5</v>
      </c>
      <c r="I1452" s="7">
        <f>G1452*H1452</f>
        <v/>
      </c>
      <c r="J1452" s="16" t="inlineStr">
        <is>
          <t>لم يُجرد</t>
        </is>
      </c>
      <c r="K1452" s="14" t="n">
        <v>0</v>
      </c>
      <c r="L1452" s="14" t="n">
        <v>1</v>
      </c>
      <c r="M1452" s="5" t="inlineStr"/>
      <c r="N1452" s="5" t="inlineStr"/>
    </row>
    <row r="1453">
      <c r="A1453" s="13" t="inlineStr">
        <is>
          <t>00029886</t>
        </is>
      </c>
      <c r="B1453" s="5" t="inlineStr">
        <is>
          <t>[00029886] AQUA MARIS BABY NASAL SPRAY 50ML</t>
        </is>
      </c>
      <c r="C1453" s="5" t="inlineStr">
        <is>
          <t>دواء</t>
        </is>
      </c>
      <c r="D1453" s="13" t="inlineStr">
        <is>
          <t>3856013236465</t>
        </is>
      </c>
      <c r="E1453" s="14">
        <f>L1453-K1453</f>
        <v/>
      </c>
      <c r="F1453" s="14" t="n">
        <v>0</v>
      </c>
      <c r="G1453" s="14">
        <f>F1453-E1453</f>
        <v/>
      </c>
      <c r="H1453" s="7" t="n">
        <v>52</v>
      </c>
      <c r="I1453" s="7">
        <f>G1453*H1453</f>
        <v/>
      </c>
      <c r="J1453" s="16" t="inlineStr">
        <is>
          <t>لم يُجرد</t>
        </is>
      </c>
      <c r="K1453" s="14" t="n">
        <v>0</v>
      </c>
      <c r="L1453" s="14" t="n">
        <v>1</v>
      </c>
      <c r="M1453" s="5" t="inlineStr"/>
      <c r="N1453" s="5" t="inlineStr"/>
    </row>
    <row r="1454">
      <c r="A1454" s="13" t="inlineStr">
        <is>
          <t>00028451</t>
        </is>
      </c>
      <c r="B1454" s="5" t="inlineStr">
        <is>
          <t>[00028451] RENAGRASS 30TAB</t>
        </is>
      </c>
      <c r="C1454" s="5" t="inlineStr">
        <is>
          <t>دواء</t>
        </is>
      </c>
      <c r="D1454" s="13" t="inlineStr">
        <is>
          <t>795044248203</t>
        </is>
      </c>
      <c r="E1454" s="14">
        <f>L1454-K1454</f>
        <v/>
      </c>
      <c r="F1454" s="14" t="n">
        <v>0</v>
      </c>
      <c r="G1454" s="14">
        <f>F1454-E1454</f>
        <v/>
      </c>
      <c r="H1454" s="7" t="n">
        <v>59</v>
      </c>
      <c r="I1454" s="7">
        <f>G1454*H1454</f>
        <v/>
      </c>
      <c r="J1454" s="16" t="inlineStr">
        <is>
          <t>لم يُجرد</t>
        </is>
      </c>
      <c r="K1454" s="14" t="n">
        <v>0</v>
      </c>
      <c r="L1454" s="14" t="n">
        <v>1</v>
      </c>
      <c r="M1454" s="5" t="inlineStr"/>
      <c r="N1454" s="5" t="inlineStr"/>
    </row>
    <row r="1455">
      <c r="A1455" s="13" t="inlineStr">
        <is>
          <t>0005564</t>
        </is>
      </c>
      <c r="B1455" s="5" t="inlineStr">
        <is>
          <t>[0005564] MOXAL SUSPENSION 200ML</t>
        </is>
      </c>
      <c r="C1455" s="5" t="inlineStr">
        <is>
          <t>دواء</t>
        </is>
      </c>
      <c r="D1455" s="13" t="inlineStr">
        <is>
          <t>01062911000814311720</t>
        </is>
      </c>
      <c r="E1455" s="14">
        <f>L1455-K1455</f>
        <v/>
      </c>
      <c r="F1455" s="14" t="n">
        <v>0</v>
      </c>
      <c r="G1455" s="14">
        <f>F1455-E1455</f>
        <v/>
      </c>
      <c r="H1455" s="7" t="n">
        <v>9.1</v>
      </c>
      <c r="I1455" s="7">
        <f>G1455*H1455</f>
        <v/>
      </c>
      <c r="J1455" s="16" t="inlineStr">
        <is>
          <t>لم يُجرد</t>
        </is>
      </c>
      <c r="K1455" s="14" t="n">
        <v>0</v>
      </c>
      <c r="L1455" s="14" t="n">
        <v>3</v>
      </c>
      <c r="M1455" s="5" t="inlineStr"/>
      <c r="N1455" s="5" t="inlineStr"/>
    </row>
    <row r="1456">
      <c r="A1456" s="13" t="inlineStr">
        <is>
          <t>00030505</t>
        </is>
      </c>
      <c r="B1456" s="5" t="inlineStr">
        <is>
          <t>[00030505] RESPRED 15MG/5ML SYP 120ML</t>
        </is>
      </c>
      <c r="C1456" s="5" t="inlineStr">
        <is>
          <t>دواء</t>
        </is>
      </c>
      <c r="D1456" s="13" t="inlineStr"/>
      <c r="E1456" s="14">
        <f>L1456-K1456</f>
        <v/>
      </c>
      <c r="F1456" s="14" t="n">
        <v>0</v>
      </c>
      <c r="G1456" s="14">
        <f>F1456-E1456</f>
        <v/>
      </c>
      <c r="H1456" s="7" t="n">
        <v>37.8</v>
      </c>
      <c r="I1456" s="7">
        <f>G1456*H1456</f>
        <v/>
      </c>
      <c r="J1456" s="16" t="inlineStr">
        <is>
          <t>لم يُجرد</t>
        </is>
      </c>
      <c r="K1456" s="14" t="n">
        <v>0</v>
      </c>
      <c r="L1456" s="14" t="n">
        <v>1</v>
      </c>
      <c r="M1456" s="5" t="inlineStr"/>
      <c r="N1456" s="5" t="inlineStr"/>
    </row>
    <row r="1457">
      <c r="A1457" s="13" t="inlineStr">
        <is>
          <t>00037209</t>
        </is>
      </c>
      <c r="B1457" s="5" t="inlineStr">
        <is>
          <t>[00037209] AR CA-D 90TAB 8165</t>
        </is>
      </c>
      <c r="C1457" s="5" t="inlineStr">
        <is>
          <t>دواء</t>
        </is>
      </c>
      <c r="D1457" s="13" t="inlineStr">
        <is>
          <t>766961308165</t>
        </is>
      </c>
      <c r="E1457" s="14">
        <f>L1457-K1457</f>
        <v/>
      </c>
      <c r="F1457" s="14" t="n">
        <v>0</v>
      </c>
      <c r="G1457" s="14">
        <f>F1457-E1457</f>
        <v/>
      </c>
      <c r="H1457" s="7" t="n">
        <v>49.5</v>
      </c>
      <c r="I1457" s="7">
        <f>G1457*H1457</f>
        <v/>
      </c>
      <c r="J1457" s="16" t="inlineStr">
        <is>
          <t>لم يُجرد</t>
        </is>
      </c>
      <c r="K1457" s="14" t="n">
        <v>0</v>
      </c>
      <c r="L1457" s="14" t="n">
        <v>1</v>
      </c>
      <c r="M1457" s="5" t="inlineStr"/>
      <c r="N1457" s="5" t="inlineStr"/>
    </row>
    <row r="1458">
      <c r="A1458" s="13" t="inlineStr">
        <is>
          <t>0005260</t>
        </is>
      </c>
      <c r="B1458" s="5" t="inlineStr">
        <is>
          <t>[0005260] PENTOLATE 1% EYE DROPS</t>
        </is>
      </c>
      <c r="C1458" s="5" t="inlineStr">
        <is>
          <t>دواء</t>
        </is>
      </c>
      <c r="D1458" s="13" t="inlineStr"/>
      <c r="E1458" s="14">
        <f>L1458-K1458</f>
        <v/>
      </c>
      <c r="F1458" s="14" t="n">
        <v>0</v>
      </c>
      <c r="G1458" s="14">
        <f>F1458-E1458</f>
        <v/>
      </c>
      <c r="H1458" s="7" t="n">
        <v>9</v>
      </c>
      <c r="I1458" s="7">
        <f>G1458*H1458</f>
        <v/>
      </c>
      <c r="J1458" s="16" t="inlineStr">
        <is>
          <t>لم يُجرد</t>
        </is>
      </c>
      <c r="K1458" s="14" t="n">
        <v>0</v>
      </c>
      <c r="L1458" s="14" t="n">
        <v>3</v>
      </c>
      <c r="M1458" s="5" t="inlineStr"/>
      <c r="N1458" s="5" t="inlineStr"/>
    </row>
    <row r="1459">
      <c r="A1459" s="13" t="inlineStr">
        <is>
          <t>0003452</t>
        </is>
      </c>
      <c r="B1459" s="5" t="inlineStr">
        <is>
          <t>[0003452] ARBITEN 80MG 30TAB</t>
        </is>
      </c>
      <c r="C1459" s="5" t="inlineStr">
        <is>
          <t>دواء</t>
        </is>
      </c>
      <c r="D1459" s="13" t="inlineStr">
        <is>
          <t>01062515990008561719</t>
        </is>
      </c>
      <c r="E1459" s="14">
        <f>L1459-K1459</f>
        <v/>
      </c>
      <c r="F1459" s="14" t="n">
        <v>0</v>
      </c>
      <c r="G1459" s="14">
        <f>F1459-E1459</f>
        <v/>
      </c>
      <c r="H1459" s="7" t="n">
        <v>29.65</v>
      </c>
      <c r="I1459" s="7">
        <f>G1459*H1459</f>
        <v/>
      </c>
      <c r="J1459" s="16" t="inlineStr">
        <is>
          <t>لم يُجرد</t>
        </is>
      </c>
      <c r="K1459" s="14" t="n">
        <v>0</v>
      </c>
      <c r="L1459" s="14" t="n">
        <v>1</v>
      </c>
      <c r="M1459" s="5" t="inlineStr"/>
      <c r="N1459" s="5" t="inlineStr"/>
    </row>
    <row r="1460">
      <c r="A1460" s="13" t="inlineStr">
        <is>
          <t>0004820</t>
        </is>
      </c>
      <c r="B1460" s="5" t="inlineStr">
        <is>
          <t>[0004820] SOLVEX 4MG/5ML SYRUP 100ML</t>
        </is>
      </c>
      <c r="C1460" s="5" t="inlineStr">
        <is>
          <t>دواء</t>
        </is>
      </c>
      <c r="D1460" s="13" t="inlineStr"/>
      <c r="E1460" s="14">
        <f>L1460-K1460</f>
        <v/>
      </c>
      <c r="F1460" s="14" t="n">
        <v>0</v>
      </c>
      <c r="G1460" s="14">
        <f>F1460-E1460</f>
        <v/>
      </c>
      <c r="H1460" s="7" t="n">
        <v>6.65</v>
      </c>
      <c r="I1460" s="7">
        <f>G1460*H1460</f>
        <v/>
      </c>
      <c r="J1460" s="16" t="inlineStr">
        <is>
          <t>لم يُجرد</t>
        </is>
      </c>
      <c r="K1460" s="14" t="n">
        <v>0</v>
      </c>
      <c r="L1460" s="14" t="n">
        <v>4</v>
      </c>
      <c r="M1460" s="5" t="inlineStr"/>
      <c r="N1460" s="5" t="inlineStr"/>
    </row>
    <row r="1461">
      <c r="A1461" s="13" t="inlineStr">
        <is>
          <t>00027769</t>
        </is>
      </c>
      <c r="B1461" s="5" t="inlineStr">
        <is>
          <t>[00027769] CLINDASOL SOLUT 10MG/ML</t>
        </is>
      </c>
      <c r="C1461" s="5" t="inlineStr">
        <is>
          <t>دواء</t>
        </is>
      </c>
      <c r="D1461" s="13" t="inlineStr">
        <is>
          <t>06285119000163</t>
        </is>
      </c>
      <c r="E1461" s="14">
        <f>L1461-K1461</f>
        <v/>
      </c>
      <c r="F1461" s="14" t="n">
        <v>0</v>
      </c>
      <c r="G1461" s="14">
        <f>F1461-E1461</f>
        <v/>
      </c>
      <c r="H1461" s="7" t="n">
        <v>27.1</v>
      </c>
      <c r="I1461" s="7">
        <f>G1461*H1461</f>
        <v/>
      </c>
      <c r="J1461" s="16" t="inlineStr">
        <is>
          <t>لم يُجرد</t>
        </is>
      </c>
      <c r="K1461" s="14" t="n">
        <v>0</v>
      </c>
      <c r="L1461" s="14" t="n">
        <v>1</v>
      </c>
      <c r="M1461" s="5" t="inlineStr"/>
      <c r="N1461" s="5" t="inlineStr"/>
    </row>
    <row r="1462">
      <c r="A1462" s="13" t="inlineStr">
        <is>
          <t>0004811</t>
        </is>
      </c>
      <c r="B1462" s="5" t="inlineStr">
        <is>
          <t>[0004811] SOLPADEINE 20 CAPS</t>
        </is>
      </c>
      <c r="C1462" s="5" t="inlineStr">
        <is>
          <t>دواء</t>
        </is>
      </c>
      <c r="D1462" s="13" t="inlineStr">
        <is>
          <t>01060914032162151117</t>
        </is>
      </c>
      <c r="E1462" s="14">
        <f>L1462-K1462</f>
        <v/>
      </c>
      <c r="F1462" s="14" t="n">
        <v>0</v>
      </c>
      <c r="G1462" s="14">
        <f>F1462-E1462</f>
        <v/>
      </c>
      <c r="H1462" s="7" t="n">
        <v>13.15</v>
      </c>
      <c r="I1462" s="7">
        <f>G1462*H1462</f>
        <v/>
      </c>
      <c r="J1462" s="16" t="inlineStr">
        <is>
          <t>لم يُجرد</t>
        </is>
      </c>
      <c r="K1462" s="14" t="n">
        <v>0</v>
      </c>
      <c r="L1462" s="14" t="n">
        <v>2</v>
      </c>
      <c r="M1462" s="5" t="inlineStr"/>
      <c r="N1462" s="5" t="inlineStr"/>
    </row>
    <row r="1463">
      <c r="A1463" s="13" t="inlineStr">
        <is>
          <t>00047177</t>
        </is>
      </c>
      <c r="B1463" s="5" t="inlineStr">
        <is>
          <t>[00047177] ZEMOVIT VTAMIN D3 DROPS 15ML 6380</t>
        </is>
      </c>
      <c r="C1463" s="5" t="inlineStr">
        <is>
          <t>دواء</t>
        </is>
      </c>
      <c r="D1463" s="13" t="inlineStr">
        <is>
          <t>0744365196380</t>
        </is>
      </c>
      <c r="E1463" s="14">
        <f>L1463-K1463</f>
        <v/>
      </c>
      <c r="F1463" s="14" t="n">
        <v>0</v>
      </c>
      <c r="G1463" s="14">
        <f>F1463-E1463</f>
        <v/>
      </c>
      <c r="H1463" s="7" t="n">
        <v>18.26</v>
      </c>
      <c r="I1463" s="7">
        <f>G1463*H1463</f>
        <v/>
      </c>
      <c r="J1463" s="16" t="inlineStr">
        <is>
          <t>لم يُجرد</t>
        </is>
      </c>
      <c r="K1463" s="14" t="n">
        <v>0</v>
      </c>
      <c r="L1463" s="14" t="n">
        <v>3</v>
      </c>
      <c r="M1463" s="5" t="inlineStr"/>
      <c r="N1463" s="5" t="inlineStr"/>
    </row>
    <row r="1464">
      <c r="A1464" s="13" t="inlineStr">
        <is>
          <t>0005080</t>
        </is>
      </c>
      <c r="B1464" s="5" t="inlineStr">
        <is>
          <t>[0005080] RIACHOL 1% EYE OINT</t>
        </is>
      </c>
      <c r="C1464" s="5" t="inlineStr">
        <is>
          <t>دواء</t>
        </is>
      </c>
      <c r="D1464" s="13" t="inlineStr">
        <is>
          <t>6281080001765</t>
        </is>
      </c>
      <c r="E1464" s="14">
        <f>L1464-K1464</f>
        <v/>
      </c>
      <c r="F1464" s="14" t="n">
        <v>0</v>
      </c>
      <c r="G1464" s="14">
        <f>F1464-E1464</f>
        <v/>
      </c>
      <c r="H1464" s="7" t="n">
        <v>10</v>
      </c>
      <c r="I1464" s="7">
        <f>G1464*H1464</f>
        <v/>
      </c>
      <c r="J1464" s="16" t="inlineStr">
        <is>
          <t>لم يُجرد</t>
        </is>
      </c>
      <c r="K1464" s="14" t="n">
        <v>0</v>
      </c>
      <c r="L1464" s="14" t="n">
        <v>3</v>
      </c>
      <c r="M1464" s="5" t="inlineStr"/>
      <c r="N1464" s="5" t="inlineStr"/>
    </row>
    <row r="1465">
      <c r="A1465" s="13" t="inlineStr">
        <is>
          <t>00024529</t>
        </is>
      </c>
      <c r="B1465" s="5" t="inlineStr">
        <is>
          <t>[00024529] DORIUS 5MG TAB</t>
        </is>
      </c>
      <c r="C1465" s="5" t="inlineStr">
        <is>
          <t>دواء</t>
        </is>
      </c>
      <c r="D1465" s="13" t="inlineStr"/>
      <c r="E1465" s="14">
        <f>L1465-K1465</f>
        <v/>
      </c>
      <c r="F1465" s="14" t="n">
        <v>0</v>
      </c>
      <c r="G1465" s="14">
        <f>F1465-E1465</f>
        <v/>
      </c>
      <c r="H1465" s="7" t="n">
        <v>18.85</v>
      </c>
      <c r="I1465" s="7">
        <f>G1465*H1465</f>
        <v/>
      </c>
      <c r="J1465" s="16" t="inlineStr">
        <is>
          <t>لم يُجرد</t>
        </is>
      </c>
      <c r="K1465" s="14" t="n">
        <v>0</v>
      </c>
      <c r="L1465" s="14" t="n">
        <v>3</v>
      </c>
      <c r="M1465" s="5" t="inlineStr"/>
      <c r="N1465" s="5" t="inlineStr"/>
    </row>
    <row r="1466">
      <c r="A1466" s="13" t="inlineStr">
        <is>
          <t>0004695</t>
        </is>
      </c>
      <c r="B1466" s="5" t="inlineStr">
        <is>
          <t>[0004695] TRIMOL SYRUP</t>
        </is>
      </c>
      <c r="C1466" s="5" t="inlineStr">
        <is>
          <t>دواء</t>
        </is>
      </c>
      <c r="D1466" s="13" t="inlineStr">
        <is>
          <t>01062911000833051721</t>
        </is>
      </c>
      <c r="E1466" s="14">
        <f>L1466-K1466</f>
        <v/>
      </c>
      <c r="F1466" s="14" t="n">
        <v>0</v>
      </c>
      <c r="G1466" s="14">
        <f>F1466-E1466</f>
        <v/>
      </c>
      <c r="H1466" s="7" t="n">
        <v>8.550000000000001</v>
      </c>
      <c r="I1466" s="7">
        <f>G1466*H1466</f>
        <v/>
      </c>
      <c r="J1466" s="16" t="inlineStr">
        <is>
          <t>لم يُجرد</t>
        </is>
      </c>
      <c r="K1466" s="14" t="n">
        <v>0</v>
      </c>
      <c r="L1466" s="14" t="n">
        <v>3</v>
      </c>
      <c r="M1466" s="5" t="inlineStr"/>
      <c r="N1466" s="5" t="inlineStr"/>
    </row>
    <row r="1467">
      <c r="A1467" s="13" t="inlineStr">
        <is>
          <t>00037743</t>
        </is>
      </c>
      <c r="B1467" s="5" t="inlineStr">
        <is>
          <t>[00037743] UPSA DIGESTION 10 STICKS 4215</t>
        </is>
      </c>
      <c r="C1467" s="5" t="inlineStr">
        <is>
          <t>دواء</t>
        </is>
      </c>
      <c r="D1467" s="13" t="inlineStr">
        <is>
          <t>3585555024215</t>
        </is>
      </c>
      <c r="E1467" s="14">
        <f>L1467-K1467</f>
        <v/>
      </c>
      <c r="F1467" s="14" t="n">
        <v>0</v>
      </c>
      <c r="G1467" s="14">
        <f>F1467-E1467</f>
        <v/>
      </c>
      <c r="H1467" s="7" t="n">
        <v>25.42</v>
      </c>
      <c r="I1467" s="7">
        <f>G1467*H1467</f>
        <v/>
      </c>
      <c r="J1467" s="16" t="inlineStr">
        <is>
          <t>لم يُجرد</t>
        </is>
      </c>
      <c r="K1467" s="14" t="n">
        <v>0</v>
      </c>
      <c r="L1467" s="14" t="n">
        <v>1</v>
      </c>
      <c r="M1467" s="5" t="inlineStr"/>
      <c r="N1467" s="5" t="inlineStr"/>
    </row>
    <row r="1468">
      <c r="A1468" s="13" t="inlineStr">
        <is>
          <t>0005692</t>
        </is>
      </c>
      <c r="B1468" s="5" t="inlineStr">
        <is>
          <t>[0005692] AVALON EZ-GLIDE LUBRICANT 75ML</t>
        </is>
      </c>
      <c r="C1468" s="5" t="inlineStr">
        <is>
          <t>دواء</t>
        </is>
      </c>
      <c r="D1468" s="13" t="inlineStr">
        <is>
          <t>06285095000379</t>
        </is>
      </c>
      <c r="E1468" s="14">
        <f>L1468-K1468</f>
        <v/>
      </c>
      <c r="F1468" s="14" t="n">
        <v>0</v>
      </c>
      <c r="G1468" s="14">
        <f>F1468-E1468</f>
        <v/>
      </c>
      <c r="H1468" s="7" t="n">
        <v>46</v>
      </c>
      <c r="I1468" s="7">
        <f>G1468*H1468</f>
        <v/>
      </c>
      <c r="J1468" s="16" t="inlineStr">
        <is>
          <t>لم يُجرد</t>
        </is>
      </c>
      <c r="K1468" s="14" t="n">
        <v>0</v>
      </c>
      <c r="L1468" s="14" t="n">
        <v>1</v>
      </c>
      <c r="M1468" s="5" t="inlineStr"/>
      <c r="N1468" s="5" t="inlineStr"/>
    </row>
    <row r="1469">
      <c r="A1469" s="13" t="inlineStr">
        <is>
          <t>0004547</t>
        </is>
      </c>
      <c r="B1469" s="5" t="inlineStr">
        <is>
          <t>[0004547] ZOVIRAX 5% CREAM 10 GM</t>
        </is>
      </c>
      <c r="C1469" s="5" t="inlineStr">
        <is>
          <t>دواء</t>
        </is>
      </c>
      <c r="D1469" s="13" t="inlineStr">
        <is>
          <t>01062850960001941719</t>
        </is>
      </c>
      <c r="E1469" s="14">
        <f>L1469-K1469</f>
        <v/>
      </c>
      <c r="F1469" s="14" t="n">
        <v>0</v>
      </c>
      <c r="G1469" s="14">
        <f>F1469-E1469</f>
        <v/>
      </c>
      <c r="H1469" s="7" t="n">
        <v>25.35</v>
      </c>
      <c r="I1469" s="7">
        <f>G1469*H1469</f>
        <v/>
      </c>
      <c r="J1469" s="16" t="inlineStr">
        <is>
          <t>لم يُجرد</t>
        </is>
      </c>
      <c r="K1469" s="14" t="n">
        <v>0</v>
      </c>
      <c r="L1469" s="14" t="n">
        <v>1</v>
      </c>
      <c r="M1469" s="5" t="inlineStr"/>
      <c r="N1469" s="5" t="inlineStr"/>
    </row>
    <row r="1470">
      <c r="A1470" s="13" t="inlineStr">
        <is>
          <t>0005417</t>
        </is>
      </c>
      <c r="B1470" s="5" t="inlineStr">
        <is>
          <t>[0005417] OLFEN GEL 50GM</t>
        </is>
      </c>
      <c r="C1470" s="5" t="inlineStr">
        <is>
          <t>دواء</t>
        </is>
      </c>
      <c r="D1470" s="13" t="inlineStr">
        <is>
          <t>01076401530879591120</t>
        </is>
      </c>
      <c r="E1470" s="14">
        <f>L1470-K1470</f>
        <v/>
      </c>
      <c r="F1470" s="14" t="n">
        <v>0</v>
      </c>
      <c r="G1470" s="14">
        <f>F1470-E1470</f>
        <v/>
      </c>
      <c r="H1470" s="7" t="n">
        <v>13.85</v>
      </c>
      <c r="I1470" s="7">
        <f>G1470*H1470</f>
        <v/>
      </c>
      <c r="J1470" s="16" t="inlineStr">
        <is>
          <t>لم يُجرد</t>
        </is>
      </c>
      <c r="K1470" s="14" t="n">
        <v>0</v>
      </c>
      <c r="L1470" s="14" t="n">
        <v>2</v>
      </c>
      <c r="M1470" s="5" t="inlineStr"/>
      <c r="N1470" s="5" t="inlineStr"/>
    </row>
    <row r="1471">
      <c r="A1471" s="13" t="inlineStr">
        <is>
          <t>00045798</t>
        </is>
      </c>
      <c r="B1471" s="5" t="inlineStr">
        <is>
          <t>[00045798] PIANKA 50 MG/ 5 ML SYRUP 120ML</t>
        </is>
      </c>
      <c r="C1471" s="5" t="inlineStr">
        <is>
          <t>دواء</t>
        </is>
      </c>
      <c r="D1471" s="13" t="inlineStr"/>
      <c r="E1471" s="14">
        <f>L1471-K1471</f>
        <v/>
      </c>
      <c r="F1471" s="14" t="n">
        <v>0</v>
      </c>
      <c r="G1471" s="14">
        <f>F1471-E1471</f>
        <v/>
      </c>
      <c r="H1471" s="7" t="n">
        <v>12.55</v>
      </c>
      <c r="I1471" s="7">
        <f>G1471*H1471</f>
        <v/>
      </c>
      <c r="J1471" s="16" t="inlineStr">
        <is>
          <t>لم يُجرد</t>
        </is>
      </c>
      <c r="K1471" s="14" t="n">
        <v>0</v>
      </c>
      <c r="L1471" s="14" t="n">
        <v>2</v>
      </c>
      <c r="M1471" s="5" t="inlineStr"/>
      <c r="N1471" s="5" t="inlineStr"/>
    </row>
    <row r="1472">
      <c r="A1472" s="13" t="inlineStr">
        <is>
          <t>0003991</t>
        </is>
      </c>
      <c r="B1472" s="5" t="inlineStr">
        <is>
          <t>[0003991] ALDACTONE 100MG 10TAB</t>
        </is>
      </c>
      <c r="C1472" s="5" t="inlineStr">
        <is>
          <t>دواء</t>
        </is>
      </c>
      <c r="D1472" s="13" t="inlineStr">
        <is>
          <t>01054150620015471720</t>
        </is>
      </c>
      <c r="E1472" s="14">
        <f>L1472-K1472</f>
        <v/>
      </c>
      <c r="F1472" s="14" t="n">
        <v>0</v>
      </c>
      <c r="G1472" s="14">
        <f>F1472-E1472</f>
        <v/>
      </c>
      <c r="H1472" s="7" t="n">
        <v>25.05</v>
      </c>
      <c r="I1472" s="7">
        <f>G1472*H1472</f>
        <v/>
      </c>
      <c r="J1472" s="16" t="inlineStr">
        <is>
          <t>لم يُجرد</t>
        </is>
      </c>
      <c r="K1472" s="14" t="n">
        <v>0</v>
      </c>
      <c r="L1472" s="14" t="n">
        <v>1</v>
      </c>
      <c r="M1472" s="5" t="inlineStr"/>
      <c r="N1472" s="5" t="inlineStr"/>
    </row>
    <row r="1473">
      <c r="A1473" s="13" t="inlineStr">
        <is>
          <t>0004280</t>
        </is>
      </c>
      <c r="B1473" s="5" t="inlineStr">
        <is>
          <t>[0004280] CLARA SYRUP 100ML WASFA</t>
        </is>
      </c>
      <c r="C1473" s="5" t="inlineStr">
        <is>
          <t>دواء</t>
        </is>
      </c>
      <c r="D1473" s="13" t="inlineStr">
        <is>
          <t>06285128002653</t>
        </is>
      </c>
      <c r="E1473" s="14">
        <f>L1473-K1473</f>
        <v/>
      </c>
      <c r="F1473" s="14" t="n">
        <v>0</v>
      </c>
      <c r="G1473" s="14">
        <f>F1473-E1473</f>
        <v/>
      </c>
      <c r="H1473" s="7" t="n">
        <v>17.65</v>
      </c>
      <c r="I1473" s="7">
        <f>G1473*H1473</f>
        <v/>
      </c>
      <c r="J1473" s="16" t="inlineStr">
        <is>
          <t>لم يُجرد</t>
        </is>
      </c>
      <c r="K1473" s="14" t="n">
        <v>0</v>
      </c>
      <c r="L1473" s="14" t="n">
        <v>2</v>
      </c>
      <c r="M1473" s="5" t="inlineStr"/>
      <c r="N1473" s="5" t="inlineStr"/>
    </row>
    <row r="1474">
      <c r="A1474" s="13" t="inlineStr">
        <is>
          <t>0004051</t>
        </is>
      </c>
      <c r="B1474" s="5" t="inlineStr">
        <is>
          <t>[0004051] ELICA OINTMENT 30GM WASFA</t>
        </is>
      </c>
      <c r="C1474" s="5" t="inlineStr">
        <is>
          <t>دواء</t>
        </is>
      </c>
      <c r="D1474" s="13" t="inlineStr">
        <is>
          <t>06285128000345</t>
        </is>
      </c>
      <c r="E1474" s="14">
        <f>L1474-K1474</f>
        <v/>
      </c>
      <c r="F1474" s="14" t="n">
        <v>0</v>
      </c>
      <c r="G1474" s="14">
        <f>F1474-E1474</f>
        <v/>
      </c>
      <c r="H1474" s="7" t="n">
        <v>18</v>
      </c>
      <c r="I1474" s="7">
        <f>G1474*H1474</f>
        <v/>
      </c>
      <c r="J1474" s="16" t="inlineStr">
        <is>
          <t>لم يُجرد</t>
        </is>
      </c>
      <c r="K1474" s="14" t="n">
        <v>0</v>
      </c>
      <c r="L1474" s="14" t="n">
        <v>2</v>
      </c>
      <c r="M1474" s="5" t="inlineStr"/>
      <c r="N1474" s="5" t="inlineStr"/>
    </row>
    <row r="1475">
      <c r="A1475" s="13" t="inlineStr">
        <is>
          <t>0004789</t>
        </is>
      </c>
      <c r="B1475" s="5" t="inlineStr">
        <is>
          <t>[0004789] TICANASE N SPRAY</t>
        </is>
      </c>
      <c r="C1475" s="5" t="inlineStr">
        <is>
          <t>دواء</t>
        </is>
      </c>
      <c r="D1475" s="13" t="inlineStr">
        <is>
          <t>01062210761605882100</t>
        </is>
      </c>
      <c r="E1475" s="14">
        <f>L1475-K1475</f>
        <v/>
      </c>
      <c r="F1475" s="14" t="n">
        <v>0</v>
      </c>
      <c r="G1475" s="14">
        <f>F1475-E1475</f>
        <v/>
      </c>
      <c r="H1475" s="7" t="n">
        <v>24.7</v>
      </c>
      <c r="I1475" s="7">
        <f>G1475*H1475</f>
        <v/>
      </c>
      <c r="J1475" s="16" t="inlineStr">
        <is>
          <t>لم يُجرد</t>
        </is>
      </c>
      <c r="K1475" s="14" t="n">
        <v>0</v>
      </c>
      <c r="L1475" s="14" t="n">
        <v>1</v>
      </c>
      <c r="M1475" s="5" t="inlineStr"/>
      <c r="N1475" s="5" t="inlineStr"/>
    </row>
    <row r="1476">
      <c r="A1476" s="13" t="inlineStr">
        <is>
          <t>00027784</t>
        </is>
      </c>
      <c r="B1476" s="5" t="inlineStr">
        <is>
          <t>[00027784] NORMALIX SR 105MG 30 TAB</t>
        </is>
      </c>
      <c r="C1476" s="5" t="inlineStr">
        <is>
          <t>دواء</t>
        </is>
      </c>
      <c r="D1476" s="13" t="inlineStr"/>
      <c r="E1476" s="14">
        <f>L1476-K1476</f>
        <v/>
      </c>
      <c r="F1476" s="14" t="n">
        <v>0</v>
      </c>
      <c r="G1476" s="14">
        <f>F1476-E1476</f>
        <v/>
      </c>
      <c r="H1476" s="7" t="n">
        <v>24.65</v>
      </c>
      <c r="I1476" s="7">
        <f>G1476*H1476</f>
        <v/>
      </c>
      <c r="J1476" s="16" t="inlineStr">
        <is>
          <t>لم يُجرد</t>
        </is>
      </c>
      <c r="K1476" s="14" t="n">
        <v>0</v>
      </c>
      <c r="L1476" s="14" t="n">
        <v>1</v>
      </c>
      <c r="M1476" s="5" t="inlineStr"/>
      <c r="N1476" s="5" t="inlineStr"/>
    </row>
    <row r="1477">
      <c r="A1477" s="13" t="inlineStr">
        <is>
          <t>0003797</t>
        </is>
      </c>
      <c r="B1477" s="5" t="inlineStr">
        <is>
          <t>[0003797] FENISTIL GEL 30GM</t>
        </is>
      </c>
      <c r="C1477" s="5" t="inlineStr">
        <is>
          <t>دواء</t>
        </is>
      </c>
      <c r="D1477" s="13" t="inlineStr">
        <is>
          <t>06285096003287</t>
        </is>
      </c>
      <c r="E1477" s="14">
        <f>L1477-K1477</f>
        <v/>
      </c>
      <c r="F1477" s="14" t="n">
        <v>0</v>
      </c>
      <c r="G1477" s="14">
        <f>F1477-E1477</f>
        <v/>
      </c>
      <c r="H1477" s="7" t="n">
        <v>12.3</v>
      </c>
      <c r="I1477" s="7">
        <f>G1477*H1477</f>
        <v/>
      </c>
      <c r="J1477" s="16" t="inlineStr">
        <is>
          <t>لم يُجرد</t>
        </is>
      </c>
      <c r="K1477" s="14" t="n">
        <v>0</v>
      </c>
      <c r="L1477" s="14" t="n">
        <v>2</v>
      </c>
      <c r="M1477" s="5" t="inlineStr"/>
      <c r="N1477" s="5" t="inlineStr"/>
    </row>
    <row r="1478">
      <c r="A1478" s="13" t="inlineStr">
        <is>
          <t>0003908</t>
        </is>
      </c>
      <c r="B1478" s="5" t="inlineStr">
        <is>
          <t>[0003908] DEEP HEAT RUB 35GM CREAM</t>
        </is>
      </c>
      <c r="C1478" s="5" t="inlineStr">
        <is>
          <t>دواء</t>
        </is>
      </c>
      <c r="D1478" s="13" t="inlineStr">
        <is>
          <t>5011501040124</t>
        </is>
      </c>
      <c r="E1478" s="14">
        <f>L1478-K1478</f>
        <v/>
      </c>
      <c r="F1478" s="14" t="n">
        <v>0</v>
      </c>
      <c r="G1478" s="14">
        <f>F1478-E1478</f>
        <v/>
      </c>
      <c r="H1478" s="7" t="n">
        <v>24.45</v>
      </c>
      <c r="I1478" s="7">
        <f>G1478*H1478</f>
        <v/>
      </c>
      <c r="J1478" s="16" t="inlineStr">
        <is>
          <t>لم يُجرد</t>
        </is>
      </c>
      <c r="K1478" s="14" t="n">
        <v>0</v>
      </c>
      <c r="L1478" s="14" t="n">
        <v>1</v>
      </c>
      <c r="M1478" s="5" t="inlineStr"/>
      <c r="N1478" s="5" t="inlineStr"/>
    </row>
    <row r="1479">
      <c r="A1479" s="13" t="inlineStr">
        <is>
          <t>00014800</t>
        </is>
      </c>
      <c r="B1479" s="5" t="inlineStr">
        <is>
          <t>[00014800] STEVIANA SUGER 50 SACHETS 911203</t>
        </is>
      </c>
      <c r="C1479" s="5" t="inlineStr">
        <is>
          <t>دواء</t>
        </is>
      </c>
      <c r="D1479" s="13" t="inlineStr">
        <is>
          <t>5285000911203</t>
        </is>
      </c>
      <c r="E1479" s="14">
        <f>L1479-K1479</f>
        <v/>
      </c>
      <c r="F1479" s="14" t="n">
        <v>0</v>
      </c>
      <c r="G1479" s="14">
        <f>F1479-E1479</f>
        <v/>
      </c>
      <c r="H1479" s="7" t="n">
        <v>14.2</v>
      </c>
      <c r="I1479" s="7">
        <f>G1479*H1479</f>
        <v/>
      </c>
      <c r="J1479" s="16" t="inlineStr">
        <is>
          <t>لم يُجرد</t>
        </is>
      </c>
      <c r="K1479" s="14" t="n">
        <v>0</v>
      </c>
      <c r="L1479" s="14" t="n">
        <v>2</v>
      </c>
      <c r="M1479" s="5" t="inlineStr"/>
      <c r="N1479" s="5" t="inlineStr"/>
    </row>
    <row r="1480">
      <c r="A1480" s="13" t="inlineStr">
        <is>
          <t>00018556</t>
        </is>
      </c>
      <c r="B1480" s="5" t="inlineStr">
        <is>
          <t>[00018556] RELEZIN 4MG TAB</t>
        </is>
      </c>
      <c r="C1480" s="5" t="inlineStr">
        <is>
          <t>دواء</t>
        </is>
      </c>
      <c r="D1480" s="13" t="inlineStr">
        <is>
          <t>06287042911448</t>
        </is>
      </c>
      <c r="E1480" s="14">
        <f>L1480-K1480</f>
        <v/>
      </c>
      <c r="F1480" s="14" t="n">
        <v>0</v>
      </c>
      <c r="G1480" s="14">
        <f>F1480-E1480</f>
        <v/>
      </c>
      <c r="H1480" s="7" t="n">
        <v>24.2</v>
      </c>
      <c r="I1480" s="7">
        <f>G1480*H1480</f>
        <v/>
      </c>
      <c r="J1480" s="16" t="inlineStr">
        <is>
          <t>لم يُجرد</t>
        </is>
      </c>
      <c r="K1480" s="14" t="n">
        <v>0</v>
      </c>
      <c r="L1480" s="14" t="n">
        <v>1</v>
      </c>
      <c r="M1480" s="5" t="inlineStr"/>
      <c r="N1480" s="5" t="inlineStr"/>
    </row>
    <row r="1481">
      <c r="A1481" s="13" t="inlineStr">
        <is>
          <t>0003664</t>
        </is>
      </c>
      <c r="B1481" s="5" t="inlineStr">
        <is>
          <t>[0003664] FLUDREX SYRUP 120 ML</t>
        </is>
      </c>
      <c r="C1481" s="5" t="inlineStr">
        <is>
          <t>دواء</t>
        </is>
      </c>
      <c r="D1481" s="13" t="inlineStr">
        <is>
          <t>01062850850003721720</t>
        </is>
      </c>
      <c r="E1481" s="14">
        <f>L1481-K1481</f>
        <v/>
      </c>
      <c r="F1481" s="14" t="n">
        <v>0</v>
      </c>
      <c r="G1481" s="14">
        <f>F1481-E1481</f>
        <v/>
      </c>
      <c r="H1481" s="7" t="n">
        <v>12</v>
      </c>
      <c r="I1481" s="7">
        <f>G1481*H1481</f>
        <v/>
      </c>
      <c r="J1481" s="16" t="inlineStr">
        <is>
          <t>لم يُجرد</t>
        </is>
      </c>
      <c r="K1481" s="14" t="n">
        <v>0</v>
      </c>
      <c r="L1481" s="14" t="n">
        <v>2</v>
      </c>
      <c r="M1481" s="5" t="inlineStr"/>
      <c r="N1481" s="5" t="inlineStr"/>
    </row>
    <row r="1482">
      <c r="A1482" s="13" t="inlineStr">
        <is>
          <t>00016839</t>
        </is>
      </c>
      <c r="B1482" s="5" t="inlineStr">
        <is>
          <t>[00016839] CEBO 200MG 20 CAP</t>
        </is>
      </c>
      <c r="C1482" s="5" t="inlineStr">
        <is>
          <t>دواء</t>
        </is>
      </c>
      <c r="D1482" s="13" t="inlineStr"/>
      <c r="E1482" s="14">
        <f>L1482-K1482</f>
        <v/>
      </c>
      <c r="F1482" s="14" t="n">
        <v>0</v>
      </c>
      <c r="G1482" s="14">
        <f>F1482-E1482</f>
        <v/>
      </c>
      <c r="H1482" s="7" t="n">
        <v>27.85</v>
      </c>
      <c r="I1482" s="7">
        <f>G1482*H1482</f>
        <v/>
      </c>
      <c r="J1482" s="16" t="inlineStr">
        <is>
          <t>لم يُجرد</t>
        </is>
      </c>
      <c r="K1482" s="14" t="n">
        <v>0</v>
      </c>
      <c r="L1482" s="14" t="n">
        <v>1</v>
      </c>
      <c r="M1482" s="5" t="inlineStr"/>
      <c r="N1482" s="5" t="inlineStr"/>
    </row>
    <row r="1483">
      <c r="A1483" s="13" t="inlineStr">
        <is>
          <t>00012819</t>
        </is>
      </c>
      <c r="B1483" s="5" t="inlineStr">
        <is>
          <t>[00012819] AVALON DEXA CREAM 30 G</t>
        </is>
      </c>
      <c r="C1483" s="5" t="inlineStr">
        <is>
          <t>دواء</t>
        </is>
      </c>
      <c r="D1483" s="13" t="inlineStr">
        <is>
          <t>06285095010576</t>
        </is>
      </c>
      <c r="E1483" s="14">
        <f>L1483-K1483</f>
        <v/>
      </c>
      <c r="F1483" s="14" t="n">
        <v>0</v>
      </c>
      <c r="G1483" s="14">
        <f>F1483-E1483</f>
        <v/>
      </c>
      <c r="H1483" s="7" t="n">
        <v>22</v>
      </c>
      <c r="I1483" s="7">
        <f>G1483*H1483</f>
        <v/>
      </c>
      <c r="J1483" s="16" t="inlineStr">
        <is>
          <t>لم يُجرد</t>
        </is>
      </c>
      <c r="K1483" s="14" t="n">
        <v>0</v>
      </c>
      <c r="L1483" s="14" t="n">
        <v>2</v>
      </c>
      <c r="M1483" s="5" t="inlineStr"/>
      <c r="N1483" s="5" t="inlineStr"/>
    </row>
    <row r="1484">
      <c r="A1484" s="13" t="inlineStr">
        <is>
          <t>0004102</t>
        </is>
      </c>
      <c r="B1484" s="5" t="inlineStr">
        <is>
          <t>[0004102] CLIMEN 21 TAB</t>
        </is>
      </c>
      <c r="C1484" s="5" t="inlineStr">
        <is>
          <t>دواء</t>
        </is>
      </c>
      <c r="D1484" s="13" t="inlineStr">
        <is>
          <t>01062850740007031719</t>
        </is>
      </c>
      <c r="E1484" s="14">
        <f>L1484-K1484</f>
        <v/>
      </c>
      <c r="F1484" s="14" t="n">
        <v>0</v>
      </c>
      <c r="G1484" s="14">
        <f>F1484-E1484</f>
        <v/>
      </c>
      <c r="H1484" s="7" t="n">
        <v>23.7</v>
      </c>
      <c r="I1484" s="7">
        <f>G1484*H1484</f>
        <v/>
      </c>
      <c r="J1484" s="16" t="inlineStr">
        <is>
          <t>لم يُجرد</t>
        </is>
      </c>
      <c r="K1484" s="14" t="n">
        <v>0</v>
      </c>
      <c r="L1484" s="14" t="n">
        <v>1</v>
      </c>
      <c r="M1484" s="5" t="inlineStr"/>
      <c r="N1484" s="5" t="inlineStr"/>
    </row>
    <row r="1485">
      <c r="A1485" s="13" t="inlineStr">
        <is>
          <t>00040869</t>
        </is>
      </c>
      <c r="B1485" s="5" t="inlineStr">
        <is>
          <t>[00040869] NASAL CARE SPRAY KIDS 65ML 39671</t>
        </is>
      </c>
      <c r="C1485" s="5" t="inlineStr">
        <is>
          <t>دواء</t>
        </is>
      </c>
      <c r="D1485" s="13" t="inlineStr">
        <is>
          <t>6287002339671</t>
        </is>
      </c>
      <c r="E1485" s="14">
        <f>L1485-K1485</f>
        <v/>
      </c>
      <c r="F1485" s="14" t="n">
        <v>0</v>
      </c>
      <c r="G1485" s="14">
        <f>F1485-E1485</f>
        <v/>
      </c>
      <c r="H1485" s="7" t="n">
        <v>49</v>
      </c>
      <c r="I1485" s="7">
        <f>G1485*H1485</f>
        <v/>
      </c>
      <c r="J1485" s="16" t="inlineStr">
        <is>
          <t>لم يُجرد</t>
        </is>
      </c>
      <c r="K1485" s="14" t="n">
        <v>0</v>
      </c>
      <c r="L1485" s="14" t="n">
        <v>1</v>
      </c>
      <c r="M1485" s="5" t="inlineStr"/>
      <c r="N1485" s="5" t="inlineStr"/>
    </row>
    <row r="1486">
      <c r="A1486" s="13" t="inlineStr">
        <is>
          <t>00040973</t>
        </is>
      </c>
      <c r="B1486" s="5" t="inlineStr">
        <is>
          <t>[00040973] NASAL688 CARE ADULTS SPRAY</t>
        </is>
      </c>
      <c r="C1486" s="5" t="inlineStr">
        <is>
          <t>دواء</t>
        </is>
      </c>
      <c r="D1486" s="13" t="inlineStr">
        <is>
          <t>6287002339688</t>
        </is>
      </c>
      <c r="E1486" s="14">
        <f>L1486-K1486</f>
        <v/>
      </c>
      <c r="F1486" s="14" t="n">
        <v>0</v>
      </c>
      <c r="G1486" s="14">
        <f>F1486-E1486</f>
        <v/>
      </c>
      <c r="H1486" s="7" t="n">
        <v>49</v>
      </c>
      <c r="I1486" s="7">
        <f>G1486*H1486</f>
        <v/>
      </c>
      <c r="J1486" s="16" t="inlineStr">
        <is>
          <t>لم يُجرد</t>
        </is>
      </c>
      <c r="K1486" s="14" t="n">
        <v>0</v>
      </c>
      <c r="L1486" s="14" t="n">
        <v>1</v>
      </c>
      <c r="M1486" s="5" t="inlineStr"/>
      <c r="N1486" s="5" t="inlineStr"/>
    </row>
    <row r="1487">
      <c r="A1487" s="13" t="inlineStr">
        <is>
          <t>00018932</t>
        </is>
      </c>
      <c r="B1487" s="5" t="inlineStr">
        <is>
          <t>[00018932] OTOSAN EAR DROPS 10ML</t>
        </is>
      </c>
      <c r="C1487" s="5" t="inlineStr">
        <is>
          <t>دواء</t>
        </is>
      </c>
      <c r="D1487" s="13" t="inlineStr"/>
      <c r="E1487" s="14">
        <f>L1487-K1487</f>
        <v/>
      </c>
      <c r="F1487" s="14" t="n">
        <v>0</v>
      </c>
      <c r="G1487" s="14">
        <f>F1487-E1487</f>
        <v/>
      </c>
      <c r="H1487" s="7" t="n">
        <v>39</v>
      </c>
      <c r="I1487" s="7">
        <f>G1487*H1487</f>
        <v/>
      </c>
      <c r="J1487" s="16" t="inlineStr">
        <is>
          <t>لم يُجرد</t>
        </is>
      </c>
      <c r="K1487" s="14" t="n">
        <v>0</v>
      </c>
      <c r="L1487" s="14" t="n">
        <v>1</v>
      </c>
      <c r="M1487" s="5" t="inlineStr"/>
      <c r="N1487" s="5" t="inlineStr"/>
    </row>
    <row r="1488">
      <c r="A1488" s="13" t="inlineStr">
        <is>
          <t>00024694</t>
        </is>
      </c>
      <c r="B1488" s="5" t="inlineStr">
        <is>
          <t>[00024694] BATLOR SYP 120ML</t>
        </is>
      </c>
      <c r="C1488" s="5" t="inlineStr">
        <is>
          <t>دواء</t>
        </is>
      </c>
      <c r="D1488" s="13" t="inlineStr"/>
      <c r="E1488" s="14">
        <f>L1488-K1488</f>
        <v/>
      </c>
      <c r="F1488" s="14" t="n">
        <v>0</v>
      </c>
      <c r="G1488" s="14">
        <f>F1488-E1488</f>
        <v/>
      </c>
      <c r="H1488" s="7" t="n">
        <v>11.45</v>
      </c>
      <c r="I1488" s="7">
        <f>G1488*H1488</f>
        <v/>
      </c>
      <c r="J1488" s="16" t="inlineStr">
        <is>
          <t>لم يُجرد</t>
        </is>
      </c>
      <c r="K1488" s="14" t="n">
        <v>0</v>
      </c>
      <c r="L1488" s="14" t="n">
        <v>2</v>
      </c>
      <c r="M1488" s="5" t="inlineStr"/>
      <c r="N1488" s="5" t="inlineStr"/>
    </row>
    <row r="1489">
      <c r="A1489" s="13" t="inlineStr">
        <is>
          <t>0003976</t>
        </is>
      </c>
      <c r="B1489" s="5" t="inlineStr">
        <is>
          <t>[0003976] DIOVAN 40MG 28TABLET</t>
        </is>
      </c>
      <c r="C1489" s="5" t="inlineStr">
        <is>
          <t>دواء</t>
        </is>
      </c>
      <c r="D1489" s="13" t="inlineStr">
        <is>
          <t>07612797584996</t>
        </is>
      </c>
      <c r="E1489" s="14">
        <f>L1489-K1489</f>
        <v/>
      </c>
      <c r="F1489" s="14" t="n">
        <v>0</v>
      </c>
      <c r="G1489" s="14">
        <f>F1489-E1489</f>
        <v/>
      </c>
      <c r="H1489" s="7" t="n">
        <v>23.05</v>
      </c>
      <c r="I1489" s="7">
        <f>G1489*H1489</f>
        <v/>
      </c>
      <c r="J1489" s="16" t="inlineStr">
        <is>
          <t>لم يُجرد</t>
        </is>
      </c>
      <c r="K1489" s="14" t="n">
        <v>0</v>
      </c>
      <c r="L1489" s="14" t="n">
        <v>1</v>
      </c>
      <c r="M1489" s="5" t="inlineStr"/>
      <c r="N1489" s="5" t="inlineStr"/>
    </row>
    <row r="1490">
      <c r="A1490" s="13" t="inlineStr">
        <is>
          <t>00030511</t>
        </is>
      </c>
      <c r="B1490" s="5" t="inlineStr">
        <is>
          <t>[00030511] CITOXAL 10MG TAB</t>
        </is>
      </c>
      <c r="C1490" s="5" t="inlineStr">
        <is>
          <t>دواء</t>
        </is>
      </c>
      <c r="D1490" s="13" t="inlineStr"/>
      <c r="E1490" s="14">
        <f>L1490-K1490</f>
        <v/>
      </c>
      <c r="F1490" s="14" t="n">
        <v>0</v>
      </c>
      <c r="G1490" s="14">
        <f>F1490-E1490</f>
        <v/>
      </c>
      <c r="H1490" s="7" t="n">
        <v>46.6</v>
      </c>
      <c r="I1490" s="7">
        <f>G1490*H1490</f>
        <v/>
      </c>
      <c r="J1490" s="16" t="inlineStr">
        <is>
          <t>لم يُجرد</t>
        </is>
      </c>
      <c r="K1490" s="14" t="n">
        <v>0</v>
      </c>
      <c r="L1490" s="14" t="n">
        <v>1</v>
      </c>
      <c r="M1490" s="5" t="inlineStr"/>
      <c r="N1490" s="5" t="inlineStr"/>
    </row>
    <row r="1491">
      <c r="A1491" s="13" t="inlineStr">
        <is>
          <t>0003083</t>
        </is>
      </c>
      <c r="B1491" s="5" t="inlineStr">
        <is>
          <t>[0003083] ACC 200MG POWDER SOLUTION</t>
        </is>
      </c>
      <c r="C1491" s="5" t="inlineStr">
        <is>
          <t>دواء</t>
        </is>
      </c>
      <c r="D1491" s="13" t="inlineStr">
        <is>
          <t>04030855450268</t>
        </is>
      </c>
      <c r="E1491" s="14">
        <f>L1491-K1491</f>
        <v/>
      </c>
      <c r="F1491" s="14" t="n">
        <v>0</v>
      </c>
      <c r="G1491" s="14">
        <f>F1491-E1491</f>
        <v/>
      </c>
      <c r="H1491" s="7" t="n">
        <v>11.4</v>
      </c>
      <c r="I1491" s="7">
        <f>G1491*H1491</f>
        <v/>
      </c>
      <c r="J1491" s="16" t="inlineStr">
        <is>
          <t>لم يُجرد</t>
        </is>
      </c>
      <c r="K1491" s="14" t="n">
        <v>0</v>
      </c>
      <c r="L1491" s="14" t="n">
        <v>2</v>
      </c>
      <c r="M1491" s="5" t="inlineStr"/>
      <c r="N1491" s="5" t="inlineStr"/>
    </row>
    <row r="1492">
      <c r="A1492" s="13" t="inlineStr">
        <is>
          <t>0003687</t>
        </is>
      </c>
      <c r="B1492" s="5" t="inlineStr">
        <is>
          <t>[0003687] FUSIDERM CREAM 2% 15GM</t>
        </is>
      </c>
      <c r="C1492" s="5" t="inlineStr">
        <is>
          <t>دواء</t>
        </is>
      </c>
      <c r="D1492" s="13" t="inlineStr">
        <is>
          <t>10104893172010012100</t>
        </is>
      </c>
      <c r="E1492" s="14">
        <f>L1492-K1492</f>
        <v/>
      </c>
      <c r="F1492" s="14" t="n">
        <v>0</v>
      </c>
      <c r="G1492" s="14">
        <f>F1492-E1492</f>
        <v/>
      </c>
      <c r="H1492" s="7" t="n">
        <v>11.35</v>
      </c>
      <c r="I1492" s="7">
        <f>G1492*H1492</f>
        <v/>
      </c>
      <c r="J1492" s="16" t="inlineStr">
        <is>
          <t>لم يُجرد</t>
        </is>
      </c>
      <c r="K1492" s="14" t="n">
        <v>0</v>
      </c>
      <c r="L1492" s="14" t="n">
        <v>2</v>
      </c>
      <c r="M1492" s="5" t="inlineStr"/>
      <c r="N1492" s="5" t="inlineStr"/>
    </row>
    <row r="1493">
      <c r="A1493" s="13" t="inlineStr">
        <is>
          <t>00015022</t>
        </is>
      </c>
      <c r="B1493" s="5" t="inlineStr">
        <is>
          <t>[00015022] FORMIT XR 750 MG 30TAB</t>
        </is>
      </c>
      <c r="C1493" s="5" t="inlineStr">
        <is>
          <t>دواء</t>
        </is>
      </c>
      <c r="D1493" s="13" t="inlineStr"/>
      <c r="E1493" s="14">
        <f>L1493-K1493</f>
        <v/>
      </c>
      <c r="F1493" s="14" t="n">
        <v>0</v>
      </c>
      <c r="G1493" s="14">
        <f>F1493-E1493</f>
        <v/>
      </c>
      <c r="H1493" s="7" t="n">
        <v>22.5</v>
      </c>
      <c r="I1493" s="7">
        <f>G1493*H1493</f>
        <v/>
      </c>
      <c r="J1493" s="16" t="inlineStr">
        <is>
          <t>لم يُجرد</t>
        </is>
      </c>
      <c r="K1493" s="14" t="n">
        <v>0</v>
      </c>
      <c r="L1493" s="14" t="n">
        <v>1</v>
      </c>
      <c r="M1493" s="5" t="inlineStr"/>
      <c r="N1493" s="5" t="inlineStr"/>
    </row>
    <row r="1494">
      <c r="A1494" s="13" t="inlineStr">
        <is>
          <t>0004000</t>
        </is>
      </c>
      <c r="B1494" s="5" t="inlineStr">
        <is>
          <t>[0004000] DOGMATIL FORT 200MG 12 TAB TMR</t>
        </is>
      </c>
      <c r="C1494" s="5" t="inlineStr">
        <is>
          <t>دواء</t>
        </is>
      </c>
      <c r="D1494" s="13" t="inlineStr">
        <is>
          <t>010628508800052221KA</t>
        </is>
      </c>
      <c r="E1494" s="14">
        <f>L1494-K1494</f>
        <v/>
      </c>
      <c r="F1494" s="14" t="n">
        <v>0</v>
      </c>
      <c r="G1494" s="14">
        <f>F1494-E1494</f>
        <v/>
      </c>
      <c r="H1494" s="7" t="n">
        <v>22.5</v>
      </c>
      <c r="I1494" s="7">
        <f>G1494*H1494</f>
        <v/>
      </c>
      <c r="J1494" s="16" t="inlineStr">
        <is>
          <t>لم يُجرد</t>
        </is>
      </c>
      <c r="K1494" s="14" t="n">
        <v>0</v>
      </c>
      <c r="L1494" s="14" t="n">
        <v>1</v>
      </c>
      <c r="M1494" s="5" t="inlineStr"/>
      <c r="N1494" s="5" t="inlineStr"/>
    </row>
    <row r="1495">
      <c r="A1495" s="13" t="inlineStr">
        <is>
          <t>00016819</t>
        </is>
      </c>
      <c r="B1495" s="5" t="inlineStr">
        <is>
          <t>[00016819] ESSENTIAL-D 10000 IU 60 CAPS</t>
        </is>
      </c>
      <c r="C1495" s="5" t="inlineStr">
        <is>
          <t>دواء</t>
        </is>
      </c>
      <c r="D1495" s="13" t="inlineStr">
        <is>
          <t>766961306512</t>
        </is>
      </c>
      <c r="E1495" s="14">
        <f>L1495-K1495</f>
        <v/>
      </c>
      <c r="F1495" s="14" t="n">
        <v>0</v>
      </c>
      <c r="G1495" s="14">
        <f>F1495-E1495</f>
        <v/>
      </c>
      <c r="H1495" s="7" t="n">
        <v>38.45</v>
      </c>
      <c r="I1495" s="7">
        <f>G1495*H1495</f>
        <v/>
      </c>
      <c r="J1495" s="16" t="inlineStr">
        <is>
          <t>لم يُجرد</t>
        </is>
      </c>
      <c r="K1495" s="14" t="n">
        <v>0</v>
      </c>
      <c r="L1495" s="14" t="n">
        <v>1</v>
      </c>
      <c r="M1495" s="5" t="inlineStr"/>
      <c r="N1495" s="5" t="inlineStr"/>
    </row>
    <row r="1496">
      <c r="A1496" s="13" t="inlineStr">
        <is>
          <t>00019741</t>
        </is>
      </c>
      <c r="B1496" s="5" t="inlineStr">
        <is>
          <t>[00019741] SALURIN 20 MG 2ML/5AMP</t>
        </is>
      </c>
      <c r="C1496" s="5" t="inlineStr">
        <is>
          <t>دواء</t>
        </is>
      </c>
      <c r="D1496" s="13" t="inlineStr"/>
      <c r="E1496" s="14">
        <f>L1496-K1496</f>
        <v/>
      </c>
      <c r="F1496" s="14" t="n">
        <v>0</v>
      </c>
      <c r="G1496" s="14">
        <f>F1496-E1496</f>
        <v/>
      </c>
      <c r="H1496" s="7" t="n">
        <v>14.85</v>
      </c>
      <c r="I1496" s="7">
        <f>G1496*H1496</f>
        <v/>
      </c>
      <c r="J1496" s="16" t="inlineStr">
        <is>
          <t>لم يُجرد</t>
        </is>
      </c>
      <c r="K1496" s="14" t="n">
        <v>0</v>
      </c>
      <c r="L1496" s="14" t="n">
        <v>2</v>
      </c>
      <c r="M1496" s="5" t="inlineStr"/>
      <c r="N1496" s="5" t="inlineStr"/>
    </row>
    <row r="1497">
      <c r="A1497" s="13" t="inlineStr">
        <is>
          <t>0004768</t>
        </is>
      </c>
      <c r="B1497" s="5" t="inlineStr">
        <is>
          <t>[0004768] TEGRETOL 2% SYRUP 100ML*****</t>
        </is>
      </c>
      <c r="C1497" s="5" t="inlineStr">
        <is>
          <t>دواء</t>
        </is>
      </c>
      <c r="D1497" s="13" t="inlineStr"/>
      <c r="E1497" s="14">
        <f>L1497-K1497</f>
        <v/>
      </c>
      <c r="F1497" s="14" t="n">
        <v>0</v>
      </c>
      <c r="G1497" s="14">
        <f>F1497-E1497</f>
        <v/>
      </c>
      <c r="H1497" s="7" t="n">
        <v>21.9</v>
      </c>
      <c r="I1497" s="7">
        <f>G1497*H1497</f>
        <v/>
      </c>
      <c r="J1497" s="16" t="inlineStr">
        <is>
          <t>لم يُجرد</t>
        </is>
      </c>
      <c r="K1497" s="14" t="n">
        <v>0</v>
      </c>
      <c r="L1497" s="14" t="n">
        <v>1</v>
      </c>
      <c r="M1497" s="5" t="inlineStr"/>
      <c r="N1497" s="5" t="inlineStr"/>
    </row>
    <row r="1498">
      <c r="A1498" s="13" t="inlineStr">
        <is>
          <t>0004354</t>
        </is>
      </c>
      <c r="B1498" s="5" t="inlineStr">
        <is>
          <t>[0004354] CANESTEN 500MG 1 VAG TAB</t>
        </is>
      </c>
      <c r="C1498" s="5" t="inlineStr">
        <is>
          <t>دواء</t>
        </is>
      </c>
      <c r="D1498" s="13" t="inlineStr">
        <is>
          <t>01062850740003522154</t>
        </is>
      </c>
      <c r="E1498" s="14">
        <f>L1498-K1498</f>
        <v/>
      </c>
      <c r="F1498" s="14" t="n">
        <v>0</v>
      </c>
      <c r="G1498" s="14">
        <f>F1498-E1498</f>
        <v/>
      </c>
      <c r="H1498" s="7" t="n">
        <v>21.7</v>
      </c>
      <c r="I1498" s="7">
        <f>G1498*H1498</f>
        <v/>
      </c>
      <c r="J1498" s="16" t="inlineStr">
        <is>
          <t>لم يُجرد</t>
        </is>
      </c>
      <c r="K1498" s="14" t="n">
        <v>0</v>
      </c>
      <c r="L1498" s="14" t="n">
        <v>1</v>
      </c>
      <c r="M1498" s="5" t="inlineStr"/>
      <c r="N1498" s="5" t="inlineStr"/>
    </row>
    <row r="1499">
      <c r="A1499" s="13" t="inlineStr">
        <is>
          <t>0004607</t>
        </is>
      </c>
      <c r="B1499" s="5" t="inlineStr">
        <is>
          <t>[0004607] VERINE 135MG 30 TAB</t>
        </is>
      </c>
      <c r="C1499" s="5" t="inlineStr">
        <is>
          <t>دواء</t>
        </is>
      </c>
      <c r="D1499" s="13" t="inlineStr"/>
      <c r="E1499" s="14">
        <f>L1499-K1499</f>
        <v/>
      </c>
      <c r="F1499" s="14" t="n">
        <v>0</v>
      </c>
      <c r="G1499" s="14">
        <f>F1499-E1499</f>
        <v/>
      </c>
      <c r="H1499" s="7" t="n">
        <v>21.65</v>
      </c>
      <c r="I1499" s="7">
        <f>G1499*H1499</f>
        <v/>
      </c>
      <c r="J1499" s="16" t="inlineStr">
        <is>
          <t>لم يُجرد</t>
        </is>
      </c>
      <c r="K1499" s="14" t="n">
        <v>0</v>
      </c>
      <c r="L1499" s="14" t="n">
        <v>1</v>
      </c>
      <c r="M1499" s="5" t="inlineStr"/>
      <c r="N1499" s="5" t="inlineStr"/>
    </row>
    <row r="1500">
      <c r="A1500" s="13" t="inlineStr">
        <is>
          <t>00045767</t>
        </is>
      </c>
      <c r="B1500" s="5" t="inlineStr">
        <is>
          <t>[00045767] AVOTRENE EMULGEL 50GM</t>
        </is>
      </c>
      <c r="C1500" s="5" t="inlineStr">
        <is>
          <t>دواء</t>
        </is>
      </c>
      <c r="D1500" s="13" t="inlineStr">
        <is>
          <t>6285095010842</t>
        </is>
      </c>
      <c r="E1500" s="14">
        <f>L1500-K1500</f>
        <v/>
      </c>
      <c r="F1500" s="14" t="n">
        <v>0</v>
      </c>
      <c r="G1500" s="14">
        <f>F1500-E1500</f>
        <v/>
      </c>
      <c r="H1500" s="7" t="n">
        <v>7.2</v>
      </c>
      <c r="I1500" s="7">
        <f>G1500*H1500</f>
        <v/>
      </c>
      <c r="J1500" s="16" t="inlineStr">
        <is>
          <t>لم يُجرد</t>
        </is>
      </c>
      <c r="K1500" s="14" t="n">
        <v>0</v>
      </c>
      <c r="L1500" s="14" t="n">
        <v>3</v>
      </c>
      <c r="M1500" s="5" t="inlineStr"/>
      <c r="N1500" s="5" t="inlineStr"/>
    </row>
    <row r="1501">
      <c r="A1501" s="13" t="inlineStr">
        <is>
          <t>00034237</t>
        </is>
      </c>
      <c r="B1501" s="5" t="inlineStr">
        <is>
          <t>[00034237] ORAL C MOUTH WASH 300 ML</t>
        </is>
      </c>
      <c r="C1501" s="5" t="inlineStr">
        <is>
          <t>دواء</t>
        </is>
      </c>
      <c r="D1501" s="13" t="inlineStr">
        <is>
          <t>6285756000878</t>
        </is>
      </c>
      <c r="E1501" s="14">
        <f>L1501-K1501</f>
        <v/>
      </c>
      <c r="F1501" s="14" t="n">
        <v>0</v>
      </c>
      <c r="G1501" s="14">
        <f>F1501-E1501</f>
        <v/>
      </c>
      <c r="H1501" s="7" t="n">
        <v>44.8</v>
      </c>
      <c r="I1501" s="7">
        <f>G1501*H1501</f>
        <v/>
      </c>
      <c r="J1501" s="16" t="inlineStr">
        <is>
          <t>لم يُجرد</t>
        </is>
      </c>
      <c r="K1501" s="14" t="n">
        <v>0</v>
      </c>
      <c r="L1501" s="14" t="n">
        <v>1</v>
      </c>
      <c r="M1501" s="5" t="inlineStr"/>
      <c r="N1501" s="5" t="inlineStr"/>
    </row>
    <row r="1502">
      <c r="A1502" s="13" t="inlineStr">
        <is>
          <t>0005790</t>
        </is>
      </c>
      <c r="B1502" s="5" t="inlineStr">
        <is>
          <t>[0005790] RUMAFEN 1% GEL 50GM</t>
        </is>
      </c>
      <c r="C1502" s="5" t="inlineStr">
        <is>
          <t>دواء</t>
        </is>
      </c>
      <c r="D1502" s="13" t="inlineStr">
        <is>
          <t>6281080002281</t>
        </is>
      </c>
      <c r="E1502" s="14">
        <f>L1502-K1502</f>
        <v/>
      </c>
      <c r="F1502" s="14" t="n">
        <v>0</v>
      </c>
      <c r="G1502" s="14">
        <f>F1502-E1502</f>
        <v/>
      </c>
      <c r="H1502" s="7" t="n">
        <v>13.45</v>
      </c>
      <c r="I1502" s="7">
        <f>G1502*H1502</f>
        <v/>
      </c>
      <c r="J1502" s="16" t="inlineStr">
        <is>
          <t>لم يُجرد</t>
        </is>
      </c>
      <c r="K1502" s="14" t="n">
        <v>0</v>
      </c>
      <c r="L1502" s="14" t="n">
        <v>3</v>
      </c>
      <c r="M1502" s="5" t="inlineStr"/>
      <c r="N1502" s="5" t="inlineStr"/>
    </row>
    <row r="1503">
      <c r="A1503" s="13" t="inlineStr">
        <is>
          <t>00021929</t>
        </is>
      </c>
      <c r="B1503" s="5" t="inlineStr">
        <is>
          <t>[00021929] IMODIUM INSTANTS 12 TAB</t>
        </is>
      </c>
      <c r="C1503" s="5" t="inlineStr">
        <is>
          <t>دواء</t>
        </is>
      </c>
      <c r="D1503" s="13" t="inlineStr"/>
      <c r="E1503" s="14">
        <f>L1503-K1503</f>
        <v/>
      </c>
      <c r="F1503" s="14" t="n">
        <v>0</v>
      </c>
      <c r="G1503" s="14">
        <f>F1503-E1503</f>
        <v/>
      </c>
      <c r="H1503" s="7" t="n">
        <v>22.35</v>
      </c>
      <c r="I1503" s="7">
        <f>G1503*H1503</f>
        <v/>
      </c>
      <c r="J1503" s="16" t="inlineStr">
        <is>
          <t>لم يُجرد</t>
        </is>
      </c>
      <c r="K1503" s="14" t="n">
        <v>0</v>
      </c>
      <c r="L1503" s="14" t="n">
        <v>1</v>
      </c>
      <c r="M1503" s="5" t="inlineStr"/>
      <c r="N1503" s="5" t="inlineStr"/>
    </row>
    <row r="1504">
      <c r="A1504" s="13" t="inlineStr">
        <is>
          <t>0004963</t>
        </is>
      </c>
      <c r="B1504" s="5" t="inlineStr">
        <is>
          <t>[0004963] CANDEREL 100S SWEETNER 0174</t>
        </is>
      </c>
      <c r="C1504" s="5" t="inlineStr">
        <is>
          <t>دواء</t>
        </is>
      </c>
      <c r="D1504" s="13" t="inlineStr">
        <is>
          <t>7640110700174</t>
        </is>
      </c>
      <c r="E1504" s="14">
        <f>L1504-K1504</f>
        <v/>
      </c>
      <c r="F1504" s="14" t="n">
        <v>0</v>
      </c>
      <c r="G1504" s="14">
        <f>F1504-E1504</f>
        <v/>
      </c>
      <c r="H1504" s="7" t="n">
        <v>12.71</v>
      </c>
      <c r="I1504" s="7">
        <f>G1504*H1504</f>
        <v/>
      </c>
      <c r="J1504" s="16" t="inlineStr">
        <is>
          <t>لم يُجرد</t>
        </is>
      </c>
      <c r="K1504" s="14" t="n">
        <v>0</v>
      </c>
      <c r="L1504" s="14" t="n">
        <v>2</v>
      </c>
      <c r="M1504" s="5" t="inlineStr"/>
      <c r="N1504" s="5" t="inlineStr"/>
    </row>
    <row r="1505">
      <c r="A1505" s="13" t="inlineStr">
        <is>
          <t>00027781</t>
        </is>
      </c>
      <c r="B1505" s="5" t="inlineStr">
        <is>
          <t>[00027781] ALERSON CREAM 30GM</t>
        </is>
      </c>
      <c r="C1505" s="5" t="inlineStr">
        <is>
          <t>دواء</t>
        </is>
      </c>
      <c r="D1505" s="13" t="inlineStr"/>
      <c r="E1505" s="14">
        <f>L1505-K1505</f>
        <v/>
      </c>
      <c r="F1505" s="14" t="n">
        <v>0</v>
      </c>
      <c r="G1505" s="14">
        <f>F1505-E1505</f>
        <v/>
      </c>
      <c r="H1505" s="7" t="n">
        <v>10.45</v>
      </c>
      <c r="I1505" s="7">
        <f>G1505*H1505</f>
        <v/>
      </c>
      <c r="J1505" s="16" t="inlineStr">
        <is>
          <t>لم يُجرد</t>
        </is>
      </c>
      <c r="K1505" s="14" t="n">
        <v>0</v>
      </c>
      <c r="L1505" s="14" t="n">
        <v>2</v>
      </c>
      <c r="M1505" s="5" t="inlineStr"/>
      <c r="N1505" s="5" t="inlineStr"/>
    </row>
    <row r="1506">
      <c r="A1506" s="13" t="inlineStr">
        <is>
          <t>0004190</t>
        </is>
      </c>
      <c r="B1506" s="5" t="inlineStr">
        <is>
          <t>[0004190] DAONIL M 5/500MG 30TAB</t>
        </is>
      </c>
      <c r="C1506" s="5" t="inlineStr">
        <is>
          <t>دواء</t>
        </is>
      </c>
      <c r="D1506" s="13" t="inlineStr">
        <is>
          <t>01062810866100391010</t>
        </is>
      </c>
      <c r="E1506" s="14">
        <f>L1506-K1506</f>
        <v/>
      </c>
      <c r="F1506" s="14" t="n">
        <v>0</v>
      </c>
      <c r="G1506" s="14">
        <f>F1506-E1506</f>
        <v/>
      </c>
      <c r="H1506" s="7" t="n">
        <v>21.1</v>
      </c>
      <c r="I1506" s="7">
        <f>G1506*H1506</f>
        <v/>
      </c>
      <c r="J1506" s="16" t="inlineStr">
        <is>
          <t>لم يُجرد</t>
        </is>
      </c>
      <c r="K1506" s="14" t="n">
        <v>0</v>
      </c>
      <c r="L1506" s="14" t="n">
        <v>1</v>
      </c>
      <c r="M1506" s="5" t="inlineStr"/>
      <c r="N1506" s="5" t="inlineStr"/>
    </row>
    <row r="1507">
      <c r="A1507" s="13" t="inlineStr">
        <is>
          <t>0003834</t>
        </is>
      </c>
      <c r="B1507" s="5" t="inlineStr">
        <is>
          <t>[0003834] AMARYL 1 MG 30 TAB</t>
        </is>
      </c>
      <c r="C1507" s="5" t="inlineStr">
        <is>
          <t>دواء</t>
        </is>
      </c>
      <c r="D1507" s="13" t="inlineStr">
        <is>
          <t>01062850880000101719</t>
        </is>
      </c>
      <c r="E1507" s="14">
        <f>L1507-K1507</f>
        <v/>
      </c>
      <c r="F1507" s="14" t="n">
        <v>0</v>
      </c>
      <c r="G1507" s="14">
        <f>F1507-E1507</f>
        <v/>
      </c>
      <c r="H1507" s="7" t="n">
        <v>20.8</v>
      </c>
      <c r="I1507" s="7">
        <f>G1507*H1507</f>
        <v/>
      </c>
      <c r="J1507" s="16" t="inlineStr">
        <is>
          <t>لم يُجرد</t>
        </is>
      </c>
      <c r="K1507" s="14" t="n">
        <v>0</v>
      </c>
      <c r="L1507" s="14" t="n">
        <v>1</v>
      </c>
      <c r="M1507" s="5" t="inlineStr"/>
      <c r="N1507" s="5" t="inlineStr"/>
    </row>
    <row r="1508">
      <c r="A1508" s="13" t="inlineStr">
        <is>
          <t>00016265</t>
        </is>
      </c>
      <c r="B1508" s="5" t="inlineStr">
        <is>
          <t>[00016265] ESSENTIAL-D 50000 IU 12 CAPS</t>
        </is>
      </c>
      <c r="C1508" s="5" t="inlineStr">
        <is>
          <t>دواء</t>
        </is>
      </c>
      <c r="D1508" s="13" t="inlineStr">
        <is>
          <t>00766961306529</t>
        </is>
      </c>
      <c r="E1508" s="14">
        <f>L1508-K1508</f>
        <v/>
      </c>
      <c r="F1508" s="14" t="n">
        <v>0</v>
      </c>
      <c r="G1508" s="14">
        <f>F1508-E1508</f>
        <v/>
      </c>
      <c r="H1508" s="7" t="n">
        <v>38.45</v>
      </c>
      <c r="I1508" s="7">
        <f>G1508*H1508</f>
        <v/>
      </c>
      <c r="J1508" s="16" t="inlineStr">
        <is>
          <t>لم يُجرد</t>
        </is>
      </c>
      <c r="K1508" s="14" t="n">
        <v>0</v>
      </c>
      <c r="L1508" s="14" t="n">
        <v>1</v>
      </c>
      <c r="M1508" s="5" t="inlineStr"/>
      <c r="N1508" s="5" t="inlineStr"/>
    </row>
    <row r="1509">
      <c r="A1509" s="13" t="inlineStr">
        <is>
          <t>0004286</t>
        </is>
      </c>
      <c r="B1509" s="5" t="inlineStr">
        <is>
          <t>[0004286] CLARITINE SYRUP 100 ML</t>
        </is>
      </c>
      <c r="C1509" s="5" t="inlineStr">
        <is>
          <t>دواء</t>
        </is>
      </c>
      <c r="D1509" s="13" t="inlineStr">
        <is>
          <t>06285074005623</t>
        </is>
      </c>
      <c r="E1509" s="14">
        <f>L1509-K1509</f>
        <v/>
      </c>
      <c r="F1509" s="14" t="n">
        <v>0</v>
      </c>
      <c r="G1509" s="14">
        <f>F1509-E1509</f>
        <v/>
      </c>
      <c r="H1509" s="7" t="n">
        <v>20.75</v>
      </c>
      <c r="I1509" s="7">
        <f>G1509*H1509</f>
        <v/>
      </c>
      <c r="J1509" s="16" t="inlineStr">
        <is>
          <t>لم يُجرد</t>
        </is>
      </c>
      <c r="K1509" s="14" t="n">
        <v>0</v>
      </c>
      <c r="L1509" s="14" t="n">
        <v>1</v>
      </c>
      <c r="M1509" s="5" t="inlineStr"/>
      <c r="N1509" s="5" t="inlineStr"/>
    </row>
    <row r="1510">
      <c r="A1510" s="13" t="inlineStr">
        <is>
          <t>0004470</t>
        </is>
      </c>
      <c r="B1510" s="5" t="inlineStr">
        <is>
          <t>[0004470] BETASONE OINTMENT 15GM</t>
        </is>
      </c>
      <c r="C1510" s="5" t="inlineStr">
        <is>
          <t>دواء</t>
        </is>
      </c>
      <c r="D1510" s="13" t="inlineStr">
        <is>
          <t>01062911000804581720</t>
        </is>
      </c>
      <c r="E1510" s="14">
        <f>L1510-K1510</f>
        <v/>
      </c>
      <c r="F1510" s="14" t="n">
        <v>0</v>
      </c>
      <c r="G1510" s="14">
        <f>F1510-E1510</f>
        <v/>
      </c>
      <c r="H1510" s="7" t="n">
        <v>5.15</v>
      </c>
      <c r="I1510" s="7">
        <f>G1510*H1510</f>
        <v/>
      </c>
      <c r="J1510" s="16" t="inlineStr">
        <is>
          <t>لم يُجرد</t>
        </is>
      </c>
      <c r="K1510" s="14" t="n">
        <v>0</v>
      </c>
      <c r="L1510" s="14" t="n">
        <v>4</v>
      </c>
      <c r="M1510" s="5" t="inlineStr"/>
      <c r="N1510" s="5" t="inlineStr"/>
    </row>
    <row r="1511">
      <c r="A1511" s="13" t="inlineStr">
        <is>
          <t>0003867</t>
        </is>
      </c>
      <c r="B1511" s="5" t="inlineStr">
        <is>
          <t>[0003867] ERYTHRODAR FORTE 400MG 20TAB</t>
        </is>
      </c>
      <c r="C1511" s="5" t="inlineStr">
        <is>
          <t>دواء</t>
        </is>
      </c>
      <c r="D1511" s="13" t="inlineStr">
        <is>
          <t>06251107019028</t>
        </is>
      </c>
      <c r="E1511" s="14">
        <f>L1511-K1511</f>
        <v/>
      </c>
      <c r="F1511" s="14" t="n">
        <v>0</v>
      </c>
      <c r="G1511" s="14">
        <f>F1511-E1511</f>
        <v/>
      </c>
      <c r="H1511" s="7" t="n">
        <v>10.25</v>
      </c>
      <c r="I1511" s="7">
        <f>G1511*H1511</f>
        <v/>
      </c>
      <c r="J1511" s="16" t="inlineStr">
        <is>
          <t>لم يُجرد</t>
        </is>
      </c>
      <c r="K1511" s="14" t="n">
        <v>0</v>
      </c>
      <c r="L1511" s="14" t="n">
        <v>2</v>
      </c>
      <c r="M1511" s="5" t="inlineStr"/>
      <c r="N1511" s="5" t="inlineStr"/>
    </row>
    <row r="1512">
      <c r="A1512" s="13" t="inlineStr">
        <is>
          <t>0003283</t>
        </is>
      </c>
      <c r="B1512" s="5" t="inlineStr">
        <is>
          <t>[0003283] LIBLAB SYRUP 100ML</t>
        </is>
      </c>
      <c r="C1512" s="5" t="inlineStr">
        <is>
          <t>دواء</t>
        </is>
      </c>
      <c r="D1512" s="13" t="inlineStr">
        <is>
          <t>6281086230329</t>
        </is>
      </c>
      <c r="E1512" s="14">
        <f>L1512-K1512</f>
        <v/>
      </c>
      <c r="F1512" s="14" t="n">
        <v>0</v>
      </c>
      <c r="G1512" s="14">
        <f>F1512-E1512</f>
        <v/>
      </c>
      <c r="H1512" s="7" t="n">
        <v>38.65</v>
      </c>
      <c r="I1512" s="7">
        <f>G1512*H1512</f>
        <v/>
      </c>
      <c r="J1512" s="16" t="inlineStr">
        <is>
          <t>لم يُجرد</t>
        </is>
      </c>
      <c r="K1512" s="14" t="n">
        <v>0</v>
      </c>
      <c r="L1512" s="14" t="n">
        <v>2</v>
      </c>
      <c r="M1512" s="5" t="inlineStr"/>
      <c r="N1512" s="5" t="inlineStr"/>
    </row>
    <row r="1513">
      <c r="A1513" s="13" t="inlineStr">
        <is>
          <t>0004300</t>
        </is>
      </c>
      <c r="B1513" s="5" t="inlineStr">
        <is>
          <t>[0004300] CENTRUM SILVER 30 TAB 74118</t>
        </is>
      </c>
      <c r="C1513" s="5" t="inlineStr">
        <is>
          <t>دواء</t>
        </is>
      </c>
      <c r="D1513" s="13" t="inlineStr">
        <is>
          <t>01054150620015162191</t>
        </is>
      </c>
      <c r="E1513" s="14">
        <f>L1513-K1513</f>
        <v/>
      </c>
      <c r="F1513" s="14" t="n">
        <v>0</v>
      </c>
      <c r="G1513" s="14">
        <f>F1513-E1513</f>
        <v/>
      </c>
      <c r="H1513" s="7" t="n">
        <v>20.4</v>
      </c>
      <c r="I1513" s="7">
        <f>G1513*H1513</f>
        <v/>
      </c>
      <c r="J1513" s="16" t="inlineStr">
        <is>
          <t>لم يُجرد</t>
        </is>
      </c>
      <c r="K1513" s="14" t="n">
        <v>0</v>
      </c>
      <c r="L1513" s="14" t="n">
        <v>1</v>
      </c>
      <c r="M1513" s="5" t="inlineStr"/>
      <c r="N1513" s="5" t="inlineStr"/>
    </row>
    <row r="1514">
      <c r="A1514" s="13" t="inlineStr">
        <is>
          <t>0003409</t>
        </is>
      </c>
      <c r="B1514" s="5" t="inlineStr">
        <is>
          <t>[0003409] HUMALOG KWIK-PEN 100U/ML</t>
        </is>
      </c>
      <c r="C1514" s="5" t="inlineStr">
        <is>
          <t>دواء</t>
        </is>
      </c>
      <c r="D1514" s="13" t="inlineStr">
        <is>
          <t>206209222</t>
        </is>
      </c>
      <c r="E1514" s="14">
        <f>L1514-K1514</f>
        <v/>
      </c>
      <c r="F1514" s="14" t="n">
        <v>0</v>
      </c>
      <c r="G1514" s="14">
        <f>F1514-E1514</f>
        <v/>
      </c>
      <c r="H1514" s="7" t="n">
        <v>161.3</v>
      </c>
      <c r="I1514" s="7">
        <f>G1514*H1514</f>
        <v/>
      </c>
      <c r="J1514" s="16" t="inlineStr">
        <is>
          <t>لم يُجرد</t>
        </is>
      </c>
      <c r="K1514" s="14" t="n">
        <v>0</v>
      </c>
      <c r="L1514" s="14" t="n">
        <v>0.6</v>
      </c>
      <c r="M1514" s="5" t="inlineStr"/>
      <c r="N1514" s="5" t="inlineStr"/>
    </row>
    <row r="1515">
      <c r="A1515" s="13" t="inlineStr">
        <is>
          <t>0004711</t>
        </is>
      </c>
      <c r="B1515" s="5" t="inlineStr">
        <is>
          <t>[0004711] TYLENOL 100 MG SUPP 10</t>
        </is>
      </c>
      <c r="C1515" s="5" t="inlineStr">
        <is>
          <t>دواء</t>
        </is>
      </c>
      <c r="D1515" s="13" t="inlineStr"/>
      <c r="E1515" s="14">
        <f>L1515-K1515</f>
        <v/>
      </c>
      <c r="F1515" s="14" t="n">
        <v>0</v>
      </c>
      <c r="G1515" s="14">
        <f>F1515-E1515</f>
        <v/>
      </c>
      <c r="H1515" s="7" t="n">
        <v>10.15</v>
      </c>
      <c r="I1515" s="7">
        <f>G1515*H1515</f>
        <v/>
      </c>
      <c r="J1515" s="16" t="inlineStr">
        <is>
          <t>لم يُجرد</t>
        </is>
      </c>
      <c r="K1515" s="14" t="n">
        <v>0</v>
      </c>
      <c r="L1515" s="14" t="n">
        <v>2</v>
      </c>
      <c r="M1515" s="5" t="inlineStr"/>
      <c r="N1515" s="5" t="inlineStr"/>
    </row>
    <row r="1516">
      <c r="A1516" s="13" t="inlineStr">
        <is>
          <t>0005239</t>
        </is>
      </c>
      <c r="B1516" s="5" t="inlineStr">
        <is>
          <t>[0005239] PREGNATA 30CAP</t>
        </is>
      </c>
      <c r="C1516" s="5" t="inlineStr">
        <is>
          <t>دواء</t>
        </is>
      </c>
      <c r="D1516" s="13" t="inlineStr"/>
      <c r="E1516" s="14">
        <f>L1516-K1516</f>
        <v/>
      </c>
      <c r="F1516" s="14" t="n">
        <v>0</v>
      </c>
      <c r="G1516" s="14">
        <f>F1516-E1516</f>
        <v/>
      </c>
      <c r="H1516" s="7" t="n">
        <v>20.4</v>
      </c>
      <c r="I1516" s="7">
        <f>G1516*H1516</f>
        <v/>
      </c>
      <c r="J1516" s="16" t="inlineStr">
        <is>
          <t>لم يُجرد</t>
        </is>
      </c>
      <c r="K1516" s="14" t="n">
        <v>0</v>
      </c>
      <c r="L1516" s="14" t="n">
        <v>1</v>
      </c>
      <c r="M1516" s="5" t="inlineStr"/>
      <c r="N1516" s="5" t="inlineStr"/>
    </row>
    <row r="1517">
      <c r="A1517" s="13" t="inlineStr">
        <is>
          <t>00012843</t>
        </is>
      </c>
      <c r="B1517" s="5" t="inlineStr">
        <is>
          <t>[00012843] VOMINORE  20TAB******</t>
        </is>
      </c>
      <c r="C1517" s="5" t="inlineStr">
        <is>
          <t>دواء</t>
        </is>
      </c>
      <c r="D1517" s="13" t="inlineStr">
        <is>
          <t>06251154154017</t>
        </is>
      </c>
      <c r="E1517" s="14">
        <f>L1517-K1517</f>
        <v/>
      </c>
      <c r="F1517" s="14" t="n">
        <v>0</v>
      </c>
      <c r="G1517" s="14">
        <f>F1517-E1517</f>
        <v/>
      </c>
      <c r="H1517" s="7" t="n">
        <v>10</v>
      </c>
      <c r="I1517" s="7">
        <f>G1517*H1517</f>
        <v/>
      </c>
      <c r="J1517" s="16" t="inlineStr">
        <is>
          <t>لم يُجرد</t>
        </is>
      </c>
      <c r="K1517" s="14" t="n">
        <v>0</v>
      </c>
      <c r="L1517" s="14" t="n">
        <v>2</v>
      </c>
      <c r="M1517" s="5" t="inlineStr"/>
      <c r="N1517" s="5" t="inlineStr"/>
    </row>
    <row r="1518">
      <c r="A1518" s="13" t="inlineStr">
        <is>
          <t>0003914</t>
        </is>
      </c>
      <c r="B1518" s="5" t="inlineStr">
        <is>
          <t>[0003914] DERMATIN CREAM</t>
        </is>
      </c>
      <c r="C1518" s="5" t="inlineStr">
        <is>
          <t>دواء</t>
        </is>
      </c>
      <c r="D1518" s="13" t="inlineStr">
        <is>
          <t>01062211510027032120</t>
        </is>
      </c>
      <c r="E1518" s="14">
        <f>L1518-K1518</f>
        <v/>
      </c>
      <c r="F1518" s="14" t="n">
        <v>0</v>
      </c>
      <c r="G1518" s="14">
        <f>F1518-E1518</f>
        <v/>
      </c>
      <c r="H1518" s="7" t="n">
        <v>10</v>
      </c>
      <c r="I1518" s="7">
        <f>G1518*H1518</f>
        <v/>
      </c>
      <c r="J1518" s="16" t="inlineStr">
        <is>
          <t>لم يُجرد</t>
        </is>
      </c>
      <c r="K1518" s="14" t="n">
        <v>0</v>
      </c>
      <c r="L1518" s="14" t="n">
        <v>2</v>
      </c>
      <c r="M1518" s="5" t="inlineStr"/>
      <c r="N1518" s="5" t="inlineStr"/>
    </row>
    <row r="1519">
      <c r="A1519" s="13" t="inlineStr">
        <is>
          <t>0003763</t>
        </is>
      </c>
      <c r="B1519" s="5" t="inlineStr">
        <is>
          <t>[0003763] APIMOL 05% EYE DROPS</t>
        </is>
      </c>
      <c r="C1519" s="5" t="inlineStr">
        <is>
          <t>دواء</t>
        </is>
      </c>
      <c r="D1519" s="13" t="inlineStr"/>
      <c r="E1519" s="14">
        <f>L1519-K1519</f>
        <v/>
      </c>
      <c r="F1519" s="14" t="n">
        <v>0</v>
      </c>
      <c r="G1519" s="14">
        <f>F1519-E1519</f>
        <v/>
      </c>
      <c r="H1519" s="7" t="n">
        <v>9.949999999999999</v>
      </c>
      <c r="I1519" s="7">
        <f>G1519*H1519</f>
        <v/>
      </c>
      <c r="J1519" s="16" t="inlineStr">
        <is>
          <t>لم يُجرد</t>
        </is>
      </c>
      <c r="K1519" s="14" t="n">
        <v>0</v>
      </c>
      <c r="L1519" s="14" t="n">
        <v>2</v>
      </c>
      <c r="M1519" s="5" t="inlineStr"/>
      <c r="N1519" s="5" t="inlineStr"/>
    </row>
    <row r="1520">
      <c r="A1520" s="13" t="inlineStr">
        <is>
          <t>0004637</t>
        </is>
      </c>
      <c r="B1520" s="5" t="inlineStr">
        <is>
          <t>[0004637] VITAGLOBIN 30TAB******</t>
        </is>
      </c>
      <c r="C1520" s="5" t="inlineStr">
        <is>
          <t>دواء</t>
        </is>
      </c>
      <c r="D1520" s="13" t="inlineStr">
        <is>
          <t>6285147005437</t>
        </is>
      </c>
      <c r="E1520" s="14">
        <f>L1520-K1520</f>
        <v/>
      </c>
      <c r="F1520" s="14" t="n">
        <v>0</v>
      </c>
      <c r="G1520" s="14">
        <f>F1520-E1520</f>
        <v/>
      </c>
      <c r="H1520" s="7" t="n">
        <v>20.4</v>
      </c>
      <c r="I1520" s="7">
        <f>G1520*H1520</f>
        <v/>
      </c>
      <c r="J1520" s="16" t="inlineStr">
        <is>
          <t>لم يُجرد</t>
        </is>
      </c>
      <c r="K1520" s="14" t="n">
        <v>0</v>
      </c>
      <c r="L1520" s="14" t="n">
        <v>1</v>
      </c>
      <c r="M1520" s="5" t="inlineStr"/>
      <c r="N1520" s="5" t="inlineStr"/>
    </row>
    <row r="1521">
      <c r="A1521" s="13" t="inlineStr">
        <is>
          <t>0003841</t>
        </is>
      </c>
      <c r="B1521" s="5" t="inlineStr">
        <is>
          <t>[0003841] EXYLIN ADULT SYRUP 100ML</t>
        </is>
      </c>
      <c r="C1521" s="5" t="inlineStr">
        <is>
          <t>دواء</t>
        </is>
      </c>
      <c r="D1521" s="13" t="inlineStr"/>
      <c r="E1521" s="14">
        <f>L1521-K1521</f>
        <v/>
      </c>
      <c r="F1521" s="14" t="n">
        <v>0</v>
      </c>
      <c r="G1521" s="14">
        <f>F1521-E1521</f>
        <v/>
      </c>
      <c r="H1521" s="7" t="n">
        <v>7.7</v>
      </c>
      <c r="I1521" s="7">
        <f>G1521*H1521</f>
        <v/>
      </c>
      <c r="J1521" s="16" t="inlineStr">
        <is>
          <t>لم يُجرد</t>
        </is>
      </c>
      <c r="K1521" s="14" t="n">
        <v>0</v>
      </c>
      <c r="L1521" s="14" t="n">
        <v>3</v>
      </c>
      <c r="M1521" s="5" t="inlineStr"/>
      <c r="N1521" s="5" t="inlineStr"/>
    </row>
    <row r="1522">
      <c r="A1522" s="13" t="inlineStr">
        <is>
          <t>0003742</t>
        </is>
      </c>
      <c r="B1522" s="5" t="inlineStr">
        <is>
          <t>[0003742] GAVISCON PEPPERMINT TAB</t>
        </is>
      </c>
      <c r="C1522" s="5" t="inlineStr">
        <is>
          <t>دواء</t>
        </is>
      </c>
      <c r="D1522" s="13" t="inlineStr">
        <is>
          <t>01050001580669601719</t>
        </is>
      </c>
      <c r="E1522" s="14">
        <f>L1522-K1522</f>
        <v/>
      </c>
      <c r="F1522" s="14" t="n">
        <v>0</v>
      </c>
      <c r="G1522" s="14">
        <f>F1522-E1522</f>
        <v/>
      </c>
      <c r="H1522" s="7" t="n">
        <v>9.6</v>
      </c>
      <c r="I1522" s="7">
        <f>G1522*H1522</f>
        <v/>
      </c>
      <c r="J1522" s="16" t="inlineStr">
        <is>
          <t>لم يُجرد</t>
        </is>
      </c>
      <c r="K1522" s="14" t="n">
        <v>0</v>
      </c>
      <c r="L1522" s="14" t="n">
        <v>2</v>
      </c>
      <c r="M1522" s="5" t="inlineStr"/>
      <c r="N1522" s="5" t="inlineStr"/>
    </row>
    <row r="1523">
      <c r="A1523" s="13" t="inlineStr">
        <is>
          <t>0004201</t>
        </is>
      </c>
      <c r="B1523" s="5" t="inlineStr">
        <is>
          <t>[0004201] DEFOSALIC LOTION 30ML WASFA</t>
        </is>
      </c>
      <c r="C1523" s="5" t="inlineStr">
        <is>
          <t>دواء</t>
        </is>
      </c>
      <c r="D1523" s="13" t="inlineStr"/>
      <c r="E1523" s="14">
        <f>L1523-K1523</f>
        <v/>
      </c>
      <c r="F1523" s="14" t="n">
        <v>0</v>
      </c>
      <c r="G1523" s="14">
        <f>F1523-E1523</f>
        <v/>
      </c>
      <c r="H1523" s="7" t="n">
        <v>18.7</v>
      </c>
      <c r="I1523" s="7">
        <f>G1523*H1523</f>
        <v/>
      </c>
      <c r="J1523" s="16" t="inlineStr">
        <is>
          <t>لم يُجرد</t>
        </is>
      </c>
      <c r="K1523" s="14" t="n">
        <v>0</v>
      </c>
      <c r="L1523" s="14" t="n">
        <v>1</v>
      </c>
      <c r="M1523" s="5" t="inlineStr"/>
      <c r="N1523" s="5" t="inlineStr"/>
    </row>
    <row r="1524">
      <c r="A1524" s="13" t="inlineStr">
        <is>
          <t>00016550</t>
        </is>
      </c>
      <c r="B1524" s="5" t="inlineStr">
        <is>
          <t>[00016550] FAWAR FRUIT EFF 6 SACHETS</t>
        </is>
      </c>
      <c r="C1524" s="5" t="inlineStr">
        <is>
          <t>دواء</t>
        </is>
      </c>
      <c r="D1524" s="13" t="inlineStr"/>
      <c r="E1524" s="14">
        <f>L1524-K1524</f>
        <v/>
      </c>
      <c r="F1524" s="14" t="n">
        <v>0</v>
      </c>
      <c r="G1524" s="14">
        <f>F1524-E1524</f>
        <v/>
      </c>
      <c r="H1524" s="7" t="n">
        <v>6.45</v>
      </c>
      <c r="I1524" s="7">
        <f>G1524*H1524</f>
        <v/>
      </c>
      <c r="J1524" s="16" t="inlineStr">
        <is>
          <t>لم يُجرد</t>
        </is>
      </c>
      <c r="K1524" s="14" t="n">
        <v>0</v>
      </c>
      <c r="L1524" s="14" t="n">
        <v>1</v>
      </c>
      <c r="M1524" s="5" t="inlineStr"/>
      <c r="N1524" s="5" t="inlineStr"/>
    </row>
    <row r="1525">
      <c r="A1525" s="13" t="inlineStr">
        <is>
          <t>00021117</t>
        </is>
      </c>
      <c r="B1525" s="5" t="inlineStr">
        <is>
          <t>[00021117] COLI URINAL GRANULES</t>
        </is>
      </c>
      <c r="C1525" s="5" t="inlineStr">
        <is>
          <t>دواء</t>
        </is>
      </c>
      <c r="D1525" s="13" t="inlineStr"/>
      <c r="E1525" s="14">
        <f>L1525-K1525</f>
        <v/>
      </c>
      <c r="F1525" s="14" t="n">
        <v>0</v>
      </c>
      <c r="G1525" s="14">
        <f>F1525-E1525</f>
        <v/>
      </c>
      <c r="H1525" s="7" t="n">
        <v>11.15</v>
      </c>
      <c r="I1525" s="7">
        <f>G1525*H1525</f>
        <v/>
      </c>
      <c r="J1525" s="16" t="inlineStr">
        <is>
          <t>لم يُجرد</t>
        </is>
      </c>
      <c r="K1525" s="14" t="n">
        <v>0</v>
      </c>
      <c r="L1525" s="14" t="n">
        <v>2</v>
      </c>
      <c r="M1525" s="5" t="inlineStr"/>
      <c r="N1525" s="5" t="inlineStr"/>
    </row>
    <row r="1526">
      <c r="A1526" s="13" t="inlineStr">
        <is>
          <t>00025946</t>
        </is>
      </c>
      <c r="B1526" s="5" t="inlineStr">
        <is>
          <t>[00025946] BOND3 ORAL DROPS</t>
        </is>
      </c>
      <c r="C1526" s="5" t="inlineStr">
        <is>
          <t>دواء</t>
        </is>
      </c>
      <c r="D1526" s="13" t="inlineStr">
        <is>
          <t>748515537399</t>
        </is>
      </c>
      <c r="E1526" s="14">
        <f>L1526-K1526</f>
        <v/>
      </c>
      <c r="F1526" s="14" t="n">
        <v>0</v>
      </c>
      <c r="G1526" s="14">
        <f>F1526-E1526</f>
        <v/>
      </c>
      <c r="H1526" s="7" t="n">
        <v>26</v>
      </c>
      <c r="I1526" s="7">
        <f>G1526*H1526</f>
        <v/>
      </c>
      <c r="J1526" s="16" t="inlineStr">
        <is>
          <t>لم يُجرد</t>
        </is>
      </c>
      <c r="K1526" s="14" t="n">
        <v>0</v>
      </c>
      <c r="L1526" s="14" t="n">
        <v>2</v>
      </c>
      <c r="M1526" s="5" t="inlineStr"/>
      <c r="N1526" s="5" t="inlineStr"/>
    </row>
    <row r="1527">
      <c r="A1527" s="13" t="inlineStr">
        <is>
          <t>0003681</t>
        </is>
      </c>
      <c r="B1527" s="5" t="inlineStr">
        <is>
          <t>[0003681] FURAZOL 20 TAB***</t>
        </is>
      </c>
      <c r="C1527" s="5" t="inlineStr">
        <is>
          <t>دواء</t>
        </is>
      </c>
      <c r="D1527" s="13" t="inlineStr">
        <is>
          <t>01062210321127501720</t>
        </is>
      </c>
      <c r="E1527" s="14">
        <f>L1527-K1527</f>
        <v/>
      </c>
      <c r="F1527" s="14" t="n">
        <v>0</v>
      </c>
      <c r="G1527" s="14">
        <f>F1527-E1527</f>
        <v/>
      </c>
      <c r="H1527" s="7" t="n">
        <v>11.4</v>
      </c>
      <c r="I1527" s="7">
        <f>G1527*H1527</f>
        <v/>
      </c>
      <c r="J1527" s="16" t="inlineStr">
        <is>
          <t>لم يُجرد</t>
        </is>
      </c>
      <c r="K1527" s="14" t="n">
        <v>0</v>
      </c>
      <c r="L1527" s="14" t="n">
        <v>2</v>
      </c>
      <c r="M1527" s="5" t="inlineStr"/>
      <c r="N1527" s="5" t="inlineStr"/>
    </row>
    <row r="1528">
      <c r="A1528" s="13" t="inlineStr">
        <is>
          <t>00040497</t>
        </is>
      </c>
      <c r="B1528" s="5" t="inlineStr">
        <is>
          <t>[00040497] HISTOFEN SYP</t>
        </is>
      </c>
      <c r="C1528" s="5" t="inlineStr">
        <is>
          <t>دواء</t>
        </is>
      </c>
      <c r="D1528" s="13" t="inlineStr"/>
      <c r="E1528" s="14">
        <f>L1528-K1528</f>
        <v/>
      </c>
      <c r="F1528" s="14" t="n">
        <v>0</v>
      </c>
      <c r="G1528" s="14">
        <f>F1528-E1528</f>
        <v/>
      </c>
      <c r="H1528" s="7" t="n">
        <v>22.65</v>
      </c>
      <c r="I1528" s="7">
        <f>G1528*H1528</f>
        <v/>
      </c>
      <c r="J1528" s="16" t="inlineStr">
        <is>
          <t>لم يُجرد</t>
        </is>
      </c>
      <c r="K1528" s="14" t="n">
        <v>0</v>
      </c>
      <c r="L1528" s="14" t="n">
        <v>1</v>
      </c>
      <c r="M1528" s="5" t="inlineStr"/>
      <c r="N1528" s="5" t="inlineStr"/>
    </row>
    <row r="1529">
      <c r="A1529" s="13" t="inlineStr">
        <is>
          <t>0003965</t>
        </is>
      </c>
      <c r="B1529" s="5" t="inlineStr">
        <is>
          <t>[0003965] DIFLUCAN 150 MG CAPS</t>
        </is>
      </c>
      <c r="C1529" s="5" t="inlineStr">
        <is>
          <t>دواء</t>
        </is>
      </c>
      <c r="D1529" s="13" t="inlineStr">
        <is>
          <t>01054150620024762134</t>
        </is>
      </c>
      <c r="E1529" s="14">
        <f>L1529-K1529</f>
        <v/>
      </c>
      <c r="F1529" s="14" t="n">
        <v>0</v>
      </c>
      <c r="G1529" s="14">
        <f>F1529-E1529</f>
        <v/>
      </c>
      <c r="H1529" s="7" t="n">
        <v>19.45</v>
      </c>
      <c r="I1529" s="7">
        <f>G1529*H1529</f>
        <v/>
      </c>
      <c r="J1529" s="16" t="inlineStr">
        <is>
          <t>لم يُجرد</t>
        </is>
      </c>
      <c r="K1529" s="14" t="n">
        <v>0</v>
      </c>
      <c r="L1529" s="14" t="n">
        <v>1</v>
      </c>
      <c r="M1529" s="5" t="inlineStr"/>
      <c r="N1529" s="5" t="inlineStr"/>
    </row>
    <row r="1530">
      <c r="A1530" s="13" t="inlineStr">
        <is>
          <t>0003755</t>
        </is>
      </c>
      <c r="B1530" s="5" t="inlineStr">
        <is>
          <t>[0003755] GENTACIN 0.3% EYE / EAR DROPS</t>
        </is>
      </c>
      <c r="C1530" s="5" t="inlineStr">
        <is>
          <t>دواء</t>
        </is>
      </c>
      <c r="D1530" s="13" t="inlineStr">
        <is>
          <t>6281080002021</t>
        </is>
      </c>
      <c r="E1530" s="14">
        <f>L1530-K1530</f>
        <v/>
      </c>
      <c r="F1530" s="14" t="n">
        <v>0</v>
      </c>
      <c r="G1530" s="14">
        <f>F1530-E1530</f>
        <v/>
      </c>
      <c r="H1530" s="7" t="n">
        <v>12</v>
      </c>
      <c r="I1530" s="7">
        <f>G1530*H1530</f>
        <v/>
      </c>
      <c r="J1530" s="16" t="inlineStr">
        <is>
          <t>لم يُجرد</t>
        </is>
      </c>
      <c r="K1530" s="14" t="n">
        <v>0</v>
      </c>
      <c r="L1530" s="14" t="n">
        <v>2</v>
      </c>
      <c r="M1530" s="5" t="inlineStr"/>
      <c r="N1530" s="5" t="inlineStr"/>
    </row>
    <row r="1531">
      <c r="A1531" s="13" t="inlineStr">
        <is>
          <t>00030164</t>
        </is>
      </c>
      <c r="B1531" s="5" t="inlineStr">
        <is>
          <t>[00030164] كاندريل جورجيس شوكلاتة بالحليب بدون سكر 00136</t>
        </is>
      </c>
      <c r="C1531" s="5" t="inlineStr">
        <is>
          <t>دواء</t>
        </is>
      </c>
      <c r="D1531" s="13" t="inlineStr">
        <is>
          <t>7630486400136</t>
        </is>
      </c>
      <c r="E1531" s="14">
        <f>L1531-K1531</f>
        <v/>
      </c>
      <c r="F1531" s="14" t="n">
        <v>0</v>
      </c>
      <c r="G1531" s="14">
        <f>F1531-E1531</f>
        <v/>
      </c>
      <c r="H1531" s="7" t="n">
        <v>17</v>
      </c>
      <c r="I1531" s="7">
        <f>G1531*H1531</f>
        <v/>
      </c>
      <c r="J1531" s="16" t="inlineStr">
        <is>
          <t>لم يُجرد</t>
        </is>
      </c>
      <c r="K1531" s="14" t="n">
        <v>0</v>
      </c>
      <c r="L1531" s="14" t="n">
        <v>1</v>
      </c>
      <c r="M1531" s="5" t="inlineStr"/>
      <c r="N1531" s="5" t="inlineStr"/>
    </row>
    <row r="1532">
      <c r="A1532" s="13" t="inlineStr">
        <is>
          <t>00016377</t>
        </is>
      </c>
      <c r="B1532" s="5" t="inlineStr">
        <is>
          <t>[00016377] OXIRA FC 8 MG 20 P TAB</t>
        </is>
      </c>
      <c r="C1532" s="5" t="inlineStr">
        <is>
          <t>دواء</t>
        </is>
      </c>
      <c r="D1532" s="13" t="inlineStr">
        <is>
          <t>01062810860041421011</t>
        </is>
      </c>
      <c r="E1532" s="14">
        <f>L1532-K1532</f>
        <v/>
      </c>
      <c r="F1532" s="14" t="n">
        <v>0</v>
      </c>
      <c r="G1532" s="14">
        <f>F1532-E1532</f>
        <v/>
      </c>
      <c r="H1532" s="7" t="n">
        <v>17.5</v>
      </c>
      <c r="I1532" s="7">
        <f>G1532*H1532</f>
        <v/>
      </c>
      <c r="J1532" s="16" t="inlineStr">
        <is>
          <t>لم يُجرد</t>
        </is>
      </c>
      <c r="K1532" s="14" t="n">
        <v>0</v>
      </c>
      <c r="L1532" s="14" t="n">
        <v>1</v>
      </c>
      <c r="M1532" s="5" t="inlineStr"/>
      <c r="N1532" s="5" t="inlineStr"/>
    </row>
    <row r="1533">
      <c r="A1533" s="13" t="inlineStr">
        <is>
          <t>0004036</t>
        </is>
      </c>
      <c r="B1533" s="5" t="inlineStr">
        <is>
          <t>[0004036] DOLVIC K 50 MG 20 TAB</t>
        </is>
      </c>
      <c r="C1533" s="5" t="inlineStr">
        <is>
          <t>دواء</t>
        </is>
      </c>
      <c r="D1533" s="13" t="inlineStr"/>
      <c r="E1533" s="14">
        <f>L1533-K1533</f>
        <v/>
      </c>
      <c r="F1533" s="14" t="n">
        <v>0</v>
      </c>
      <c r="G1533" s="14">
        <f>F1533-E1533</f>
        <v/>
      </c>
      <c r="H1533" s="7" t="n">
        <v>26.95</v>
      </c>
      <c r="I1533" s="7">
        <f>G1533*H1533</f>
        <v/>
      </c>
      <c r="J1533" s="16" t="inlineStr">
        <is>
          <t>لم يُجرد</t>
        </is>
      </c>
      <c r="K1533" s="14" t="n">
        <v>0</v>
      </c>
      <c r="L1533" s="14" t="n">
        <v>3</v>
      </c>
      <c r="M1533" s="5" t="inlineStr"/>
      <c r="N1533" s="5" t="inlineStr"/>
    </row>
    <row r="1534">
      <c r="A1534" s="13" t="inlineStr">
        <is>
          <t>0005555</t>
        </is>
      </c>
      <c r="B1534" s="5" t="inlineStr">
        <is>
          <t>[0005555] MOVE ON CREAM 50GM</t>
        </is>
      </c>
      <c r="C1534" s="5" t="inlineStr">
        <is>
          <t>دواء</t>
        </is>
      </c>
      <c r="D1534" s="13" t="inlineStr">
        <is>
          <t>8809328358587</t>
        </is>
      </c>
      <c r="E1534" s="14">
        <f>L1534-K1534</f>
        <v/>
      </c>
      <c r="F1534" s="14" t="n">
        <v>0</v>
      </c>
      <c r="G1534" s="14">
        <f>F1534-E1534</f>
        <v/>
      </c>
      <c r="H1534" s="7" t="n">
        <v>19</v>
      </c>
      <c r="I1534" s="7">
        <f>G1534*H1534</f>
        <v/>
      </c>
      <c r="J1534" s="16" t="inlineStr">
        <is>
          <t>لم يُجرد</t>
        </is>
      </c>
      <c r="K1534" s="14" t="n">
        <v>0</v>
      </c>
      <c r="L1534" s="14" t="n">
        <v>1</v>
      </c>
      <c r="M1534" s="5" t="inlineStr"/>
      <c r="N1534" s="5" t="inlineStr"/>
    </row>
    <row r="1535">
      <c r="A1535" s="13" t="inlineStr">
        <is>
          <t>0003633</t>
        </is>
      </c>
      <c r="B1535" s="5" t="inlineStr">
        <is>
          <t>[0003633] FEXODINE 120MG 14TAB</t>
        </is>
      </c>
      <c r="C1535" s="5" t="inlineStr">
        <is>
          <t>دواء</t>
        </is>
      </c>
      <c r="D1535" s="13" t="inlineStr">
        <is>
          <t>01062851470011941719</t>
        </is>
      </c>
      <c r="E1535" s="14">
        <f>L1535-K1535</f>
        <v/>
      </c>
      <c r="F1535" s="14" t="n">
        <v>0</v>
      </c>
      <c r="G1535" s="14">
        <f>F1535-E1535</f>
        <v/>
      </c>
      <c r="H1535" s="7" t="n">
        <v>16.85</v>
      </c>
      <c r="I1535" s="7">
        <f>G1535*H1535</f>
        <v/>
      </c>
      <c r="J1535" s="16" t="inlineStr">
        <is>
          <t>لم يُجرد</t>
        </is>
      </c>
      <c r="K1535" s="14" t="n">
        <v>0</v>
      </c>
      <c r="L1535" s="14" t="n">
        <v>1</v>
      </c>
      <c r="M1535" s="5" t="inlineStr"/>
      <c r="N1535" s="5" t="inlineStr"/>
    </row>
    <row r="1536">
      <c r="A1536" s="13" t="inlineStr">
        <is>
          <t>00016627</t>
        </is>
      </c>
      <c r="B1536" s="5" t="inlineStr">
        <is>
          <t>[00016627] PRIMA D3 10000 I.U CAP WASFA</t>
        </is>
      </c>
      <c r="C1536" s="5" t="inlineStr">
        <is>
          <t>دواء</t>
        </is>
      </c>
      <c r="D1536" s="13" t="inlineStr"/>
      <c r="E1536" s="14">
        <f>L1536-K1536</f>
        <v/>
      </c>
      <c r="F1536" s="14" t="n">
        <v>0</v>
      </c>
      <c r="G1536" s="14">
        <f>F1536-E1536</f>
        <v/>
      </c>
      <c r="H1536" s="7" t="n">
        <v>19.25</v>
      </c>
      <c r="I1536" s="7">
        <f>G1536*H1536</f>
        <v/>
      </c>
      <c r="J1536" s="16" t="inlineStr">
        <is>
          <t>لم يُجرد</t>
        </is>
      </c>
      <c r="K1536" s="14" t="n">
        <v>0</v>
      </c>
      <c r="L1536" s="14" t="n">
        <v>1</v>
      </c>
      <c r="M1536" s="5" t="inlineStr"/>
      <c r="N1536" s="5" t="inlineStr"/>
    </row>
    <row r="1537">
      <c r="A1537" s="13" t="inlineStr">
        <is>
          <t>00044463</t>
        </is>
      </c>
      <c r="B1537" s="5" t="inlineStr">
        <is>
          <t>[00044463] APICARPIN 2%10 ML DROPS</t>
        </is>
      </c>
      <c r="C1537" s="5" t="inlineStr">
        <is>
          <t>دواء</t>
        </is>
      </c>
      <c r="D1537" s="13" t="inlineStr"/>
      <c r="E1537" s="14">
        <f>L1537-K1537</f>
        <v/>
      </c>
      <c r="F1537" s="14" t="n">
        <v>0</v>
      </c>
      <c r="G1537" s="14">
        <f>F1537-E1537</f>
        <v/>
      </c>
      <c r="H1537" s="7" t="n">
        <v>4.05</v>
      </c>
      <c r="I1537" s="7">
        <f>G1537*H1537</f>
        <v/>
      </c>
      <c r="J1537" s="16" t="inlineStr">
        <is>
          <t>لم يُجرد</t>
        </is>
      </c>
      <c r="K1537" s="14" t="n">
        <v>0</v>
      </c>
      <c r="L1537" s="14" t="n">
        <v>4</v>
      </c>
      <c r="M1537" s="5" t="inlineStr"/>
      <c r="N1537" s="5" t="inlineStr"/>
    </row>
    <row r="1538">
      <c r="A1538" s="13" t="inlineStr">
        <is>
          <t>0004208</t>
        </is>
      </c>
      <c r="B1538" s="5" t="inlineStr">
        <is>
          <t>[0004208] DEPAKINE 200 MG TAB****</t>
        </is>
      </c>
      <c r="C1538" s="5" t="inlineStr">
        <is>
          <t>دواء</t>
        </is>
      </c>
      <c r="D1538" s="13" t="inlineStr">
        <is>
          <t>010358291000896510L3</t>
        </is>
      </c>
      <c r="E1538" s="14">
        <f>L1538-K1538</f>
        <v/>
      </c>
      <c r="F1538" s="14" t="n">
        <v>0</v>
      </c>
      <c r="G1538" s="14">
        <f>F1538-E1538</f>
        <v/>
      </c>
      <c r="H1538" s="7" t="n">
        <v>18.45</v>
      </c>
      <c r="I1538" s="7">
        <f>G1538*H1538</f>
        <v/>
      </c>
      <c r="J1538" s="16" t="inlineStr">
        <is>
          <t>لم يُجرد</t>
        </is>
      </c>
      <c r="K1538" s="14" t="n">
        <v>0</v>
      </c>
      <c r="L1538" s="14" t="n">
        <v>1</v>
      </c>
      <c r="M1538" s="5" t="inlineStr"/>
      <c r="N1538" s="5" t="inlineStr"/>
    </row>
    <row r="1539">
      <c r="A1539" s="13" t="inlineStr">
        <is>
          <t>0005245</t>
        </is>
      </c>
      <c r="B1539" s="5" t="inlineStr">
        <is>
          <t>[0005245] PRED FORTE EYE DROPS 5ML</t>
        </is>
      </c>
      <c r="C1539" s="5" t="inlineStr">
        <is>
          <t>دواء</t>
        </is>
      </c>
      <c r="D1539" s="13" t="inlineStr">
        <is>
          <t>05016007206142</t>
        </is>
      </c>
      <c r="E1539" s="14">
        <f>L1539-K1539</f>
        <v/>
      </c>
      <c r="F1539" s="14" t="n">
        <v>0</v>
      </c>
      <c r="G1539" s="14">
        <f>F1539-E1539</f>
        <v/>
      </c>
      <c r="H1539" s="7" t="n">
        <v>16.05</v>
      </c>
      <c r="I1539" s="7">
        <f>G1539*H1539</f>
        <v/>
      </c>
      <c r="J1539" s="16" t="inlineStr">
        <is>
          <t>لم يُجرد</t>
        </is>
      </c>
      <c r="K1539" s="14" t="n">
        <v>0</v>
      </c>
      <c r="L1539" s="14" t="n">
        <v>1</v>
      </c>
      <c r="M1539" s="5" t="inlineStr"/>
      <c r="N1539" s="5" t="inlineStr"/>
    </row>
    <row r="1540">
      <c r="A1540" s="13" t="inlineStr">
        <is>
          <t>0009834</t>
        </is>
      </c>
      <c r="B1540" s="5" t="inlineStr">
        <is>
          <t>[0009834] ASTROGLIDE LIQUID 35ML 01006</t>
        </is>
      </c>
      <c r="C1540" s="5" t="inlineStr">
        <is>
          <t>دواء</t>
        </is>
      </c>
      <c r="D1540" s="13" t="inlineStr">
        <is>
          <t>0015594010069</t>
        </is>
      </c>
      <c r="E1540" s="14">
        <f>L1540-K1540</f>
        <v/>
      </c>
      <c r="F1540" s="14" t="n">
        <v>0</v>
      </c>
      <c r="G1540" s="14">
        <f>F1540-E1540</f>
        <v/>
      </c>
      <c r="H1540" s="7" t="n">
        <v>29</v>
      </c>
      <c r="I1540" s="7">
        <f>G1540*H1540</f>
        <v/>
      </c>
      <c r="J1540" s="16" t="inlineStr">
        <is>
          <t>لم يُجرد</t>
        </is>
      </c>
      <c r="K1540" s="14" t="n">
        <v>0</v>
      </c>
      <c r="L1540" s="14" t="n">
        <v>1</v>
      </c>
      <c r="M1540" s="5" t="inlineStr"/>
      <c r="N1540" s="5" t="inlineStr"/>
    </row>
    <row r="1541">
      <c r="A1541" s="13" t="inlineStr">
        <is>
          <t>0004177</t>
        </is>
      </c>
      <c r="B1541" s="5" t="inlineStr">
        <is>
          <t>[0004177] DAKTARIN CREAM 30GM*****</t>
        </is>
      </c>
      <c r="C1541" s="5" t="inlineStr">
        <is>
          <t>دواء</t>
        </is>
      </c>
      <c r="D1541" s="13" t="inlineStr"/>
      <c r="E1541" s="14">
        <f>L1541-K1541</f>
        <v/>
      </c>
      <c r="F1541" s="14" t="n">
        <v>0</v>
      </c>
      <c r="G1541" s="14">
        <f>F1541-E1541</f>
        <v/>
      </c>
      <c r="H1541" s="7" t="n">
        <v>15.85</v>
      </c>
      <c r="I1541" s="7">
        <f>G1541*H1541</f>
        <v/>
      </c>
      <c r="J1541" s="16" t="inlineStr">
        <is>
          <t>لم يُجرد</t>
        </is>
      </c>
      <c r="K1541" s="14" t="n">
        <v>0</v>
      </c>
      <c r="L1541" s="14" t="n">
        <v>1</v>
      </c>
      <c r="M1541" s="5" t="inlineStr"/>
      <c r="N1541" s="5" t="inlineStr"/>
    </row>
    <row r="1542">
      <c r="A1542" s="13" t="inlineStr">
        <is>
          <t>0005253</t>
        </is>
      </c>
      <c r="B1542" s="5" t="inlineStr">
        <is>
          <t>[0005253] PONSTAN FORTE 500 MG 20 TAB</t>
        </is>
      </c>
      <c r="C1542" s="5" t="inlineStr">
        <is>
          <t>دواء</t>
        </is>
      </c>
      <c r="D1542" s="13" t="inlineStr"/>
      <c r="E1542" s="14">
        <f>L1542-K1542</f>
        <v/>
      </c>
      <c r="F1542" s="14" t="n">
        <v>0</v>
      </c>
      <c r="G1542" s="14">
        <f>F1542-E1542</f>
        <v/>
      </c>
      <c r="H1542" s="7" t="n">
        <v>15.3</v>
      </c>
      <c r="I1542" s="7">
        <f>G1542*H1542</f>
        <v/>
      </c>
      <c r="J1542" s="16" t="inlineStr">
        <is>
          <t>لم يُجرد</t>
        </is>
      </c>
      <c r="K1542" s="14" t="n">
        <v>0</v>
      </c>
      <c r="L1542" s="14" t="n">
        <v>1</v>
      </c>
      <c r="M1542" s="5" t="inlineStr"/>
      <c r="N1542" s="5" t="inlineStr"/>
    </row>
    <row r="1543">
      <c r="A1543" s="13" t="inlineStr">
        <is>
          <t>0003397</t>
        </is>
      </c>
      <c r="B1543" s="5" t="inlineStr">
        <is>
          <t>[0003397] JUSPRIN EC 81MG 30TAB</t>
        </is>
      </c>
      <c r="C1543" s="5" t="inlineStr">
        <is>
          <t>دواء</t>
        </is>
      </c>
      <c r="D1543" s="13" t="inlineStr">
        <is>
          <t>01062911000833741720</t>
        </is>
      </c>
      <c r="E1543" s="14">
        <f>L1543-K1543</f>
        <v/>
      </c>
      <c r="F1543" s="14" t="n">
        <v>0</v>
      </c>
      <c r="G1543" s="14">
        <f>F1543-E1543</f>
        <v/>
      </c>
      <c r="H1543" s="7" t="n">
        <v>7.5</v>
      </c>
      <c r="I1543" s="7">
        <f>G1543*H1543</f>
        <v/>
      </c>
      <c r="J1543" s="16" t="inlineStr">
        <is>
          <t>لم يُجرد</t>
        </is>
      </c>
      <c r="K1543" s="14" t="n">
        <v>0</v>
      </c>
      <c r="L1543" s="14" t="n">
        <v>2</v>
      </c>
      <c r="M1543" s="5" t="inlineStr"/>
      <c r="N1543" s="5" t="inlineStr"/>
    </row>
    <row r="1544">
      <c r="A1544" s="13" t="inlineStr">
        <is>
          <t>00035440</t>
        </is>
      </c>
      <c r="B1544" s="5" t="inlineStr">
        <is>
          <t>[00035440] LAXILOSE SYP 300ML</t>
        </is>
      </c>
      <c r="C1544" s="5" t="inlineStr">
        <is>
          <t>دواء</t>
        </is>
      </c>
      <c r="D1544" s="13" t="inlineStr"/>
      <c r="E1544" s="14">
        <f>L1544-K1544</f>
        <v/>
      </c>
      <c r="F1544" s="14" t="n">
        <v>0</v>
      </c>
      <c r="G1544" s="14">
        <f>F1544-E1544</f>
        <v/>
      </c>
      <c r="H1544" s="7" t="n">
        <v>20.75</v>
      </c>
      <c r="I1544" s="7">
        <f>G1544*H1544</f>
        <v/>
      </c>
      <c r="J1544" s="16" t="inlineStr">
        <is>
          <t>لم يُجرد</t>
        </is>
      </c>
      <c r="K1544" s="14" t="n">
        <v>0</v>
      </c>
      <c r="L1544" s="14" t="n">
        <v>1</v>
      </c>
      <c r="M1544" s="5" t="inlineStr"/>
      <c r="N1544" s="5" t="inlineStr"/>
    </row>
    <row r="1545">
      <c r="A1545" s="13" t="inlineStr">
        <is>
          <t>00016763</t>
        </is>
      </c>
      <c r="B1545" s="5" t="inlineStr">
        <is>
          <t>[00016763] STREPSILS MENT. SORE  36 THROTE  B. NOSE 36LOZEN</t>
        </is>
      </c>
      <c r="C1545" s="5" t="inlineStr">
        <is>
          <t>دواء</t>
        </is>
      </c>
      <c r="D1545" s="13" t="inlineStr">
        <is>
          <t>5000158106789</t>
        </is>
      </c>
      <c r="E1545" s="14">
        <f>L1545-K1545</f>
        <v/>
      </c>
      <c r="F1545" s="14" t="n">
        <v>0</v>
      </c>
      <c r="G1545" s="14">
        <f>F1545-E1545</f>
        <v/>
      </c>
      <c r="H1545" s="7" t="n">
        <v>44</v>
      </c>
      <c r="I1545" s="7">
        <f>G1545*H1545</f>
        <v/>
      </c>
      <c r="J1545" s="16" t="inlineStr">
        <is>
          <t>لم يُجرد</t>
        </is>
      </c>
      <c r="K1545" s="14" t="n">
        <v>0</v>
      </c>
      <c r="L1545" s="14" t="n">
        <v>0.34</v>
      </c>
      <c r="M1545" s="5" t="inlineStr"/>
      <c r="N1545" s="5" t="inlineStr"/>
    </row>
    <row r="1546">
      <c r="A1546" s="13" t="inlineStr">
        <is>
          <t>0005830</t>
        </is>
      </c>
      <c r="B1546" s="5" t="inlineStr">
        <is>
          <t>[0005830] AUGMENTIN 156MG SYRUP 100ML</t>
        </is>
      </c>
      <c r="C1546" s="5" t="inlineStr">
        <is>
          <t>دواء</t>
        </is>
      </c>
      <c r="D1546" s="13" t="inlineStr">
        <is>
          <t>01062850970000941719</t>
        </is>
      </c>
      <c r="E1546" s="14">
        <f>L1546-K1546</f>
        <v/>
      </c>
      <c r="F1546" s="14" t="n">
        <v>0</v>
      </c>
      <c r="G1546" s="14">
        <f>F1546-E1546</f>
        <v/>
      </c>
      <c r="H1546" s="7" t="n">
        <v>17.35</v>
      </c>
      <c r="I1546" s="7">
        <f>G1546*H1546</f>
        <v/>
      </c>
      <c r="J1546" s="16" t="inlineStr">
        <is>
          <t>لم يُجرد</t>
        </is>
      </c>
      <c r="K1546" s="14" t="n">
        <v>0</v>
      </c>
      <c r="L1546" s="14" t="n">
        <v>1</v>
      </c>
      <c r="M1546" s="5" t="inlineStr"/>
      <c r="N1546" s="5" t="inlineStr"/>
    </row>
    <row r="1547">
      <c r="A1547" s="13" t="inlineStr">
        <is>
          <t>0003669</t>
        </is>
      </c>
      <c r="B1547" s="5" t="inlineStr">
        <is>
          <t>[0003669] FML EYE DROPS****</t>
        </is>
      </c>
      <c r="C1547" s="5" t="inlineStr">
        <is>
          <t>دواء</t>
        </is>
      </c>
      <c r="D1547" s="13" t="inlineStr"/>
      <c r="E1547" s="14">
        <f>L1547-K1547</f>
        <v/>
      </c>
      <c r="F1547" s="14" t="n">
        <v>0</v>
      </c>
      <c r="G1547" s="14">
        <f>F1547-E1547</f>
        <v/>
      </c>
      <c r="H1547" s="7" t="n">
        <v>14.5</v>
      </c>
      <c r="I1547" s="7">
        <f>G1547*H1547</f>
        <v/>
      </c>
      <c r="J1547" s="16" t="inlineStr">
        <is>
          <t>لم يُجرد</t>
        </is>
      </c>
      <c r="K1547" s="14" t="n">
        <v>0</v>
      </c>
      <c r="L1547" s="14" t="n">
        <v>1</v>
      </c>
      <c r="M1547" s="5" t="inlineStr"/>
      <c r="N1547" s="5" t="inlineStr"/>
    </row>
    <row r="1548">
      <c r="A1548" s="13" t="inlineStr">
        <is>
          <t>00018756</t>
        </is>
      </c>
      <c r="B1548" s="5" t="inlineStr">
        <is>
          <t>[00018756] ANNUVA -D 50 MG TAB</t>
        </is>
      </c>
      <c r="C1548" s="5" t="inlineStr">
        <is>
          <t>دواء</t>
        </is>
      </c>
      <c r="D1548" s="13" t="inlineStr"/>
      <c r="E1548" s="14">
        <f>L1548-K1548</f>
        <v/>
      </c>
      <c r="F1548" s="14" t="n">
        <v>0</v>
      </c>
      <c r="G1548" s="14">
        <f>F1548-E1548</f>
        <v/>
      </c>
      <c r="H1548" s="7" t="n">
        <v>17.65</v>
      </c>
      <c r="I1548" s="7">
        <f>G1548*H1548</f>
        <v/>
      </c>
      <c r="J1548" s="16" t="inlineStr">
        <is>
          <t>لم يُجرد</t>
        </is>
      </c>
      <c r="K1548" s="14" t="n">
        <v>0</v>
      </c>
      <c r="L1548" s="14" t="n">
        <v>2</v>
      </c>
      <c r="M1548" s="5" t="inlineStr"/>
      <c r="N1548" s="5" t="inlineStr"/>
    </row>
    <row r="1549">
      <c r="A1549" s="13" t="inlineStr">
        <is>
          <t>00035417</t>
        </is>
      </c>
      <c r="B1549" s="5" t="inlineStr">
        <is>
          <t>[00035417] PANDA EXTRA 24 TAB</t>
        </is>
      </c>
      <c r="C1549" s="5" t="inlineStr">
        <is>
          <t>دواء</t>
        </is>
      </c>
      <c r="D1549" s="13" t="inlineStr"/>
      <c r="E1549" s="14">
        <f>L1549-K1549</f>
        <v/>
      </c>
      <c r="F1549" s="14" t="n">
        <v>0</v>
      </c>
      <c r="G1549" s="14">
        <f>F1549-E1549</f>
        <v/>
      </c>
      <c r="H1549" s="7" t="n">
        <v>4.65</v>
      </c>
      <c r="I1549" s="7">
        <f>G1549*H1549</f>
        <v/>
      </c>
      <c r="J1549" s="16" t="inlineStr">
        <is>
          <t>لم يُجرد</t>
        </is>
      </c>
      <c r="K1549" s="14" t="n">
        <v>0</v>
      </c>
      <c r="L1549" s="14" t="n">
        <v>3</v>
      </c>
      <c r="M1549" s="5" t="inlineStr"/>
      <c r="N1549" s="5" t="inlineStr"/>
    </row>
    <row r="1550">
      <c r="A1550" s="13" t="inlineStr">
        <is>
          <t>0004189</t>
        </is>
      </c>
      <c r="B1550" s="5" t="inlineStr">
        <is>
          <t>[0004189] DAONIL M 2.5MG/500MG 30TAB</t>
        </is>
      </c>
      <c r="C1550" s="5" t="inlineStr">
        <is>
          <t>دواء</t>
        </is>
      </c>
      <c r="D1550" s="13" t="inlineStr">
        <is>
          <t>01062810866100221011</t>
        </is>
      </c>
      <c r="E1550" s="14">
        <f>L1550-K1550</f>
        <v/>
      </c>
      <c r="F1550" s="14" t="n">
        <v>0</v>
      </c>
      <c r="G1550" s="14">
        <f>F1550-E1550</f>
        <v/>
      </c>
      <c r="H1550" s="7" t="n">
        <v>14.85</v>
      </c>
      <c r="I1550" s="7">
        <f>G1550*H1550</f>
        <v/>
      </c>
      <c r="J1550" s="16" t="inlineStr">
        <is>
          <t>لم يُجرد</t>
        </is>
      </c>
      <c r="K1550" s="14" t="n">
        <v>0</v>
      </c>
      <c r="L1550" s="14" t="n">
        <v>1</v>
      </c>
      <c r="M1550" s="5" t="inlineStr"/>
      <c r="N1550" s="5" t="inlineStr"/>
    </row>
    <row r="1551">
      <c r="A1551" s="13" t="inlineStr">
        <is>
          <t>0005457</t>
        </is>
      </c>
      <c r="B1551" s="5" t="inlineStr">
        <is>
          <t>[0005457] NO URIC 300MG 20 TAB***</t>
        </is>
      </c>
      <c r="C1551" s="5" t="inlineStr">
        <is>
          <t>دواء</t>
        </is>
      </c>
      <c r="D1551" s="13" t="inlineStr">
        <is>
          <t>06221032114143</t>
        </is>
      </c>
      <c r="E1551" s="14">
        <f>L1551-K1551</f>
        <v/>
      </c>
      <c r="F1551" s="14" t="n">
        <v>0</v>
      </c>
      <c r="G1551" s="14">
        <f>F1551-E1551</f>
        <v/>
      </c>
      <c r="H1551" s="7" t="n">
        <v>8</v>
      </c>
      <c r="I1551" s="7">
        <f>G1551*H1551</f>
        <v/>
      </c>
      <c r="J1551" s="16" t="inlineStr">
        <is>
          <t>لم يُجرد</t>
        </is>
      </c>
      <c r="K1551" s="14" t="n">
        <v>0</v>
      </c>
      <c r="L1551" s="14" t="n">
        <v>2</v>
      </c>
      <c r="M1551" s="5" t="inlineStr"/>
      <c r="N1551" s="5" t="inlineStr"/>
    </row>
    <row r="1552">
      <c r="A1552" s="13" t="inlineStr">
        <is>
          <t>00040518</t>
        </is>
      </c>
      <c r="B1552" s="5" t="inlineStr">
        <is>
          <t>[00040518] LIPRO SPRAY 50ML</t>
        </is>
      </c>
      <c r="C1552" s="5" t="inlineStr">
        <is>
          <t>دواء</t>
        </is>
      </c>
      <c r="D1552" s="13" t="inlineStr"/>
      <c r="E1552" s="14">
        <f>L1552-K1552</f>
        <v/>
      </c>
      <c r="F1552" s="14" t="n">
        <v>0</v>
      </c>
      <c r="G1552" s="14">
        <f>F1552-E1552</f>
        <v/>
      </c>
      <c r="H1552" s="7" t="n">
        <v>22.3</v>
      </c>
      <c r="I1552" s="7">
        <f>G1552*H1552</f>
        <v/>
      </c>
      <c r="J1552" s="16" t="inlineStr">
        <is>
          <t>لم يُجرد</t>
        </is>
      </c>
      <c r="K1552" s="14" t="n">
        <v>0</v>
      </c>
      <c r="L1552" s="14" t="n">
        <v>1</v>
      </c>
      <c r="M1552" s="5" t="inlineStr"/>
      <c r="N1552" s="5" t="inlineStr"/>
    </row>
    <row r="1553">
      <c r="A1553" s="13" t="inlineStr">
        <is>
          <t>0003760</t>
        </is>
      </c>
      <c r="B1553" s="5" t="inlineStr">
        <is>
          <t>[0003760] APIGEN 3% EYE DROPS</t>
        </is>
      </c>
      <c r="C1553" s="5" t="inlineStr">
        <is>
          <t>دواء</t>
        </is>
      </c>
      <c r="D1553" s="13" t="inlineStr"/>
      <c r="E1553" s="14">
        <f>L1553-K1553</f>
        <v/>
      </c>
      <c r="F1553" s="14" t="n">
        <v>0</v>
      </c>
      <c r="G1553" s="14">
        <f>F1553-E1553</f>
        <v/>
      </c>
      <c r="H1553" s="7" t="n">
        <v>3.4</v>
      </c>
      <c r="I1553" s="7">
        <f>G1553*H1553</f>
        <v/>
      </c>
      <c r="J1553" s="16" t="inlineStr">
        <is>
          <t>لم يُجرد</t>
        </is>
      </c>
      <c r="K1553" s="14" t="n">
        <v>0</v>
      </c>
      <c r="L1553" s="14" t="n">
        <v>4</v>
      </c>
      <c r="M1553" s="5" t="inlineStr"/>
      <c r="N1553" s="5" t="inlineStr"/>
    </row>
    <row r="1554">
      <c r="A1554" s="13" t="inlineStr">
        <is>
          <t>00013960</t>
        </is>
      </c>
      <c r="B1554" s="5" t="inlineStr">
        <is>
          <t>[00013960] RESPAL 2MG 20TAB</t>
        </is>
      </c>
      <c r="C1554" s="5" t="inlineStr">
        <is>
          <t>دواء</t>
        </is>
      </c>
      <c r="D1554" s="13" t="inlineStr">
        <is>
          <t>01062515990006961720</t>
        </is>
      </c>
      <c r="E1554" s="14">
        <f>L1554-K1554</f>
        <v/>
      </c>
      <c r="F1554" s="14" t="n">
        <v>0</v>
      </c>
      <c r="G1554" s="14">
        <f>F1554-E1554</f>
        <v/>
      </c>
      <c r="H1554" s="7" t="n">
        <v>13.25</v>
      </c>
      <c r="I1554" s="7">
        <f>G1554*H1554</f>
        <v/>
      </c>
      <c r="J1554" s="16" t="inlineStr">
        <is>
          <t>لم يُجرد</t>
        </is>
      </c>
      <c r="K1554" s="14" t="n">
        <v>0</v>
      </c>
      <c r="L1554" s="14" t="n">
        <v>1</v>
      </c>
      <c r="M1554" s="5" t="inlineStr"/>
      <c r="N1554" s="5" t="inlineStr"/>
    </row>
    <row r="1555">
      <c r="A1555" s="13" t="inlineStr">
        <is>
          <t>0005087</t>
        </is>
      </c>
      <c r="B1555" s="5" t="inlineStr">
        <is>
          <t>[0005087] RIANEST 100000 IU ORAL SUSPENSION</t>
        </is>
      </c>
      <c r="C1555" s="5" t="inlineStr">
        <is>
          <t>دواء</t>
        </is>
      </c>
      <c r="D1555" s="13" t="inlineStr"/>
      <c r="E1555" s="14">
        <f>L1555-K1555</f>
        <v/>
      </c>
      <c r="F1555" s="14" t="n">
        <v>0</v>
      </c>
      <c r="G1555" s="14">
        <f>F1555-E1555</f>
        <v/>
      </c>
      <c r="H1555" s="7" t="n">
        <v>9.15</v>
      </c>
      <c r="I1555" s="7">
        <f>G1555*H1555</f>
        <v/>
      </c>
      <c r="J1555" s="16" t="inlineStr">
        <is>
          <t>لم يُجرد</t>
        </is>
      </c>
      <c r="K1555" s="14" t="n">
        <v>0</v>
      </c>
      <c r="L1555" s="14" t="n">
        <v>2</v>
      </c>
      <c r="M1555" s="5" t="inlineStr"/>
      <c r="N1555" s="5" t="inlineStr"/>
    </row>
    <row r="1556">
      <c r="A1556" s="13" t="inlineStr">
        <is>
          <t>0004017</t>
        </is>
      </c>
      <c r="B1556" s="5" t="inlineStr">
        <is>
          <t>[0004017] DOXYDAR 100MG 10CAP WASFA</t>
        </is>
      </c>
      <c r="C1556" s="5" t="inlineStr">
        <is>
          <t>دواء</t>
        </is>
      </c>
      <c r="D1556" s="13" t="inlineStr"/>
      <c r="E1556" s="14">
        <f>L1556-K1556</f>
        <v/>
      </c>
      <c r="F1556" s="14" t="n">
        <v>0</v>
      </c>
      <c r="G1556" s="14">
        <f>F1556-E1556</f>
        <v/>
      </c>
      <c r="H1556" s="7" t="n">
        <v>15.3</v>
      </c>
      <c r="I1556" s="7">
        <f>G1556*H1556</f>
        <v/>
      </c>
      <c r="J1556" s="16" t="inlineStr">
        <is>
          <t>لم يُجرد</t>
        </is>
      </c>
      <c r="K1556" s="14" t="n">
        <v>0</v>
      </c>
      <c r="L1556" s="14" t="n">
        <v>1</v>
      </c>
      <c r="M1556" s="5" t="inlineStr"/>
      <c r="N1556" s="5" t="inlineStr"/>
    </row>
    <row r="1557">
      <c r="A1557" s="13" t="inlineStr">
        <is>
          <t>0005097</t>
        </is>
      </c>
      <c r="B1557" s="5" t="inlineStr">
        <is>
          <t>[0005097] RIAXINE SYRUP 100ML</t>
        </is>
      </c>
      <c r="C1557" s="5" t="inlineStr">
        <is>
          <t>دواء</t>
        </is>
      </c>
      <c r="D1557" s="13" t="inlineStr"/>
      <c r="E1557" s="14">
        <f>L1557-K1557</f>
        <v/>
      </c>
      <c r="F1557" s="14" t="n">
        <v>0</v>
      </c>
      <c r="G1557" s="14">
        <f>F1557-E1557</f>
        <v/>
      </c>
      <c r="H1557" s="7" t="n">
        <v>9</v>
      </c>
      <c r="I1557" s="7">
        <f>G1557*H1557</f>
        <v/>
      </c>
      <c r="J1557" s="16" t="inlineStr">
        <is>
          <t>لم يُجرد</t>
        </is>
      </c>
      <c r="K1557" s="14" t="n">
        <v>0</v>
      </c>
      <c r="L1557" s="14" t="n">
        <v>2</v>
      </c>
      <c r="M1557" s="5" t="inlineStr"/>
      <c r="N1557" s="5" t="inlineStr"/>
    </row>
    <row r="1558">
      <c r="A1558" s="13" t="inlineStr">
        <is>
          <t>00046138</t>
        </is>
      </c>
      <c r="B1558" s="5" t="inlineStr">
        <is>
          <t>[00046138] CARBATOL 200MG 30TAB WASFA</t>
        </is>
      </c>
      <c r="C1558" s="5" t="inlineStr">
        <is>
          <t>دواء</t>
        </is>
      </c>
      <c r="D1558" s="13" t="inlineStr">
        <is>
          <t>6251107004017</t>
        </is>
      </c>
      <c r="E1558" s="14">
        <f>L1558-K1558</f>
        <v/>
      </c>
      <c r="F1558" s="14" t="n">
        <v>0</v>
      </c>
      <c r="G1558" s="14">
        <f>F1558-E1558</f>
        <v/>
      </c>
      <c r="H1558" s="7" t="n">
        <v>12.75</v>
      </c>
      <c r="I1558" s="7">
        <f>G1558*H1558</f>
        <v/>
      </c>
      <c r="J1558" s="16" t="inlineStr">
        <is>
          <t>لم يُجرد</t>
        </is>
      </c>
      <c r="K1558" s="14" t="n">
        <v>0</v>
      </c>
      <c r="L1558" s="14" t="n">
        <v>1</v>
      </c>
      <c r="M1558" s="5" t="inlineStr"/>
      <c r="N1558" s="5" t="inlineStr"/>
    </row>
    <row r="1559">
      <c r="A1559" s="13" t="inlineStr">
        <is>
          <t>0004708</t>
        </is>
      </c>
      <c r="B1559" s="5" t="inlineStr">
        <is>
          <t>[0004708] TUSSIPAN PLUS SYP 150ML</t>
        </is>
      </c>
      <c r="C1559" s="5" t="inlineStr">
        <is>
          <t>دواء</t>
        </is>
      </c>
      <c r="D1559" s="13" t="inlineStr"/>
      <c r="E1559" s="14">
        <f>L1559-K1559</f>
        <v/>
      </c>
      <c r="F1559" s="14" t="n">
        <v>0</v>
      </c>
      <c r="G1559" s="14">
        <f>F1559-E1559</f>
        <v/>
      </c>
      <c r="H1559" s="7" t="n">
        <v>54.75</v>
      </c>
      <c r="I1559" s="7">
        <f>G1559*H1559</f>
        <v/>
      </c>
      <c r="J1559" s="16" t="inlineStr">
        <is>
          <t>لم يُجرد</t>
        </is>
      </c>
      <c r="K1559" s="14" t="n">
        <v>0</v>
      </c>
      <c r="L1559" s="14" t="n">
        <v>1</v>
      </c>
      <c r="M1559" s="5" t="inlineStr"/>
      <c r="N1559" s="5" t="inlineStr"/>
    </row>
    <row r="1560">
      <c r="A1560" s="13" t="inlineStr">
        <is>
          <t>0004785</t>
        </is>
      </c>
      <c r="B1560" s="5" t="inlineStr">
        <is>
          <t>[0004785] TILAX 2MG 30TAB</t>
        </is>
      </c>
      <c r="C1560" s="5" t="inlineStr">
        <is>
          <t>دواء</t>
        </is>
      </c>
      <c r="D1560" s="13" t="inlineStr">
        <is>
          <t>6281080006494</t>
        </is>
      </c>
      <c r="E1560" s="14">
        <f>L1560-K1560</f>
        <v/>
      </c>
      <c r="F1560" s="14" t="n">
        <v>0</v>
      </c>
      <c r="G1560" s="14">
        <f>F1560-E1560</f>
        <v/>
      </c>
      <c r="H1560" s="7" t="n">
        <v>17.8</v>
      </c>
      <c r="I1560" s="7">
        <f>G1560*H1560</f>
        <v/>
      </c>
      <c r="J1560" s="16" t="inlineStr">
        <is>
          <t>لم يُجرد</t>
        </is>
      </c>
      <c r="K1560" s="14" t="n">
        <v>0</v>
      </c>
      <c r="L1560" s="14" t="n">
        <v>1</v>
      </c>
      <c r="M1560" s="5" t="inlineStr"/>
      <c r="N1560" s="5" t="inlineStr"/>
    </row>
    <row r="1561">
      <c r="A1561" s="13" t="inlineStr">
        <is>
          <t>00041416</t>
        </is>
      </c>
      <c r="B1561" s="5" t="inlineStr">
        <is>
          <t>[00041416] ETOXA 120MG 7 TAB</t>
        </is>
      </c>
      <c r="C1561" s="5" t="inlineStr">
        <is>
          <t>دواء</t>
        </is>
      </c>
      <c r="D1561" s="13" t="inlineStr"/>
      <c r="E1561" s="14">
        <f>L1561-K1561</f>
        <v/>
      </c>
      <c r="F1561" s="14" t="n">
        <v>0</v>
      </c>
      <c r="G1561" s="14">
        <f>F1561-E1561</f>
        <v/>
      </c>
      <c r="H1561" s="7" t="n">
        <v>12.25</v>
      </c>
      <c r="I1561" s="7">
        <f>G1561*H1561</f>
        <v/>
      </c>
      <c r="J1561" s="16" t="inlineStr">
        <is>
          <t>لم يُجرد</t>
        </is>
      </c>
      <c r="K1561" s="14" t="n">
        <v>0</v>
      </c>
      <c r="L1561" s="14" t="n">
        <v>1</v>
      </c>
      <c r="M1561" s="5" t="inlineStr"/>
      <c r="N1561" s="5" t="inlineStr"/>
    </row>
    <row r="1562">
      <c r="A1562" s="13" t="inlineStr">
        <is>
          <t>00018940</t>
        </is>
      </c>
      <c r="B1562" s="5" t="inlineStr">
        <is>
          <t>[00018940] VICKS VAPODROPS 16 HONY LEMON MENTHOL16 LOG</t>
        </is>
      </c>
      <c r="C1562" s="5" t="inlineStr">
        <is>
          <t>دواء</t>
        </is>
      </c>
      <c r="D1562" s="13" t="inlineStr">
        <is>
          <t>8001841460178</t>
        </is>
      </c>
      <c r="E1562" s="14">
        <f>L1562-K1562</f>
        <v/>
      </c>
      <c r="F1562" s="14" t="n">
        <v>0</v>
      </c>
      <c r="G1562" s="14">
        <f>F1562-E1562</f>
        <v/>
      </c>
      <c r="H1562" s="7" t="n">
        <v>30.5</v>
      </c>
      <c r="I1562" s="7">
        <f>G1562*H1562</f>
        <v/>
      </c>
      <c r="J1562" s="16" t="inlineStr">
        <is>
          <t>لم يُجرد</t>
        </is>
      </c>
      <c r="K1562" s="14" t="n">
        <v>0</v>
      </c>
      <c r="L1562" s="14" t="n">
        <v>0.5</v>
      </c>
      <c r="M1562" s="5" t="inlineStr"/>
      <c r="N1562" s="5" t="inlineStr"/>
    </row>
    <row r="1563">
      <c r="A1563" s="13" t="inlineStr">
        <is>
          <t>0005756</t>
        </is>
      </c>
      <c r="B1563" s="5" t="inlineStr">
        <is>
          <t>[0005756] LOGYNON 21 TAB</t>
        </is>
      </c>
      <c r="C1563" s="5" t="inlineStr">
        <is>
          <t>دواء</t>
        </is>
      </c>
      <c r="D1563" s="13" t="inlineStr">
        <is>
          <t>01062850740017242152</t>
        </is>
      </c>
      <c r="E1563" s="14">
        <f>L1563-K1563</f>
        <v/>
      </c>
      <c r="F1563" s="14" t="n">
        <v>0</v>
      </c>
      <c r="G1563" s="14">
        <f>F1563-E1563</f>
        <v/>
      </c>
      <c r="H1563" s="7" t="n">
        <v>12.1</v>
      </c>
      <c r="I1563" s="7">
        <f>G1563*H1563</f>
        <v/>
      </c>
      <c r="J1563" s="16" t="inlineStr">
        <is>
          <t>لم يُجرد</t>
        </is>
      </c>
      <c r="K1563" s="14" t="n">
        <v>0</v>
      </c>
      <c r="L1563" s="14" t="n">
        <v>1</v>
      </c>
      <c r="M1563" s="5" t="inlineStr"/>
      <c r="N1563" s="5" t="inlineStr"/>
    </row>
    <row r="1564">
      <c r="A1564" s="13" t="inlineStr">
        <is>
          <t>0005480</t>
        </is>
      </c>
      <c r="B1564" s="5" t="inlineStr">
        <is>
          <t>[0005480] NEURORUBINE FORTE 20TAB</t>
        </is>
      </c>
      <c r="C1564" s="5" t="inlineStr">
        <is>
          <t>دواء</t>
        </is>
      </c>
      <c r="D1564" s="13" t="inlineStr">
        <is>
          <t>07640153087850</t>
        </is>
      </c>
      <c r="E1564" s="14">
        <f>L1564-K1564</f>
        <v/>
      </c>
      <c r="F1564" s="14" t="n">
        <v>0</v>
      </c>
      <c r="G1564" s="14">
        <f>F1564-E1564</f>
        <v/>
      </c>
      <c r="H1564" s="7" t="n">
        <v>12.05</v>
      </c>
      <c r="I1564" s="7">
        <f>G1564*H1564</f>
        <v/>
      </c>
      <c r="J1564" s="16" t="inlineStr">
        <is>
          <t>لم يُجرد</t>
        </is>
      </c>
      <c r="K1564" s="14" t="n">
        <v>0</v>
      </c>
      <c r="L1564" s="14" t="n">
        <v>1</v>
      </c>
      <c r="M1564" s="5" t="inlineStr"/>
      <c r="N1564" s="5" t="inlineStr"/>
    </row>
    <row r="1565">
      <c r="A1565" s="13" t="inlineStr">
        <is>
          <t>00019340</t>
        </is>
      </c>
      <c r="B1565" s="5" t="inlineStr">
        <is>
          <t>[00019340] OZERO 120 MG TAB</t>
        </is>
      </c>
      <c r="C1565" s="5" t="inlineStr">
        <is>
          <t>دواء</t>
        </is>
      </c>
      <c r="D1565" s="13" t="inlineStr"/>
      <c r="E1565" s="14">
        <f>L1565-K1565</f>
        <v/>
      </c>
      <c r="F1565" s="14" t="n">
        <v>0</v>
      </c>
      <c r="G1565" s="14">
        <f>F1565-E1565</f>
        <v/>
      </c>
      <c r="H1565" s="7" t="n">
        <v>10.99</v>
      </c>
      <c r="I1565" s="7">
        <f>G1565*H1565</f>
        <v/>
      </c>
      <c r="J1565" s="16" t="inlineStr">
        <is>
          <t>لم يُجرد</t>
        </is>
      </c>
      <c r="K1565" s="14" t="n">
        <v>0</v>
      </c>
      <c r="L1565" s="14" t="n">
        <v>2</v>
      </c>
      <c r="M1565" s="5" t="inlineStr"/>
      <c r="N1565" s="5" t="inlineStr"/>
    </row>
    <row r="1566">
      <c r="A1566" s="13" t="inlineStr">
        <is>
          <t>00028072</t>
        </is>
      </c>
      <c r="B1566" s="5" t="inlineStr">
        <is>
          <t>[00028072] GOLDEN GINGER BLUEBERRY GINGERIN SF</t>
        </is>
      </c>
      <c r="C1566" s="5" t="inlineStr">
        <is>
          <t>دواء</t>
        </is>
      </c>
      <c r="D1566" s="13" t="inlineStr">
        <is>
          <t>088251218436</t>
        </is>
      </c>
      <c r="E1566" s="14">
        <f>L1566-K1566</f>
        <v/>
      </c>
      <c r="F1566" s="14" t="n">
        <v>0</v>
      </c>
      <c r="G1566" s="14">
        <f>F1566-E1566</f>
        <v/>
      </c>
      <c r="H1566" s="7" t="n">
        <v>8</v>
      </c>
      <c r="I1566" s="7">
        <f>G1566*H1566</f>
        <v/>
      </c>
      <c r="J1566" s="16" t="inlineStr">
        <is>
          <t>لم يُجرد</t>
        </is>
      </c>
      <c r="K1566" s="14" t="n">
        <v>0</v>
      </c>
      <c r="L1566" s="14" t="n">
        <v>2</v>
      </c>
      <c r="M1566" s="5" t="inlineStr"/>
      <c r="N1566" s="5" t="inlineStr"/>
    </row>
    <row r="1567">
      <c r="A1567" s="13" t="inlineStr">
        <is>
          <t>0005192</t>
        </is>
      </c>
      <c r="B1567" s="5" t="inlineStr">
        <is>
          <t>[0005192] REMOX 125MG SUSP</t>
        </is>
      </c>
      <c r="C1567" s="5" t="inlineStr">
        <is>
          <t>دواء</t>
        </is>
      </c>
      <c r="D1567" s="13" t="inlineStr">
        <is>
          <t>01062851010001191016</t>
        </is>
      </c>
      <c r="E1567" s="14">
        <f>L1567-K1567</f>
        <v/>
      </c>
      <c r="F1567" s="14" t="n">
        <v>0</v>
      </c>
      <c r="G1567" s="14">
        <f>F1567-E1567</f>
        <v/>
      </c>
      <c r="H1567" s="7" t="n">
        <v>13.55</v>
      </c>
      <c r="I1567" s="7">
        <f>G1567*H1567</f>
        <v/>
      </c>
      <c r="J1567" s="16" t="inlineStr">
        <is>
          <t>لم يُجرد</t>
        </is>
      </c>
      <c r="K1567" s="14" t="n">
        <v>0</v>
      </c>
      <c r="L1567" s="14" t="n">
        <v>1</v>
      </c>
      <c r="M1567" s="5" t="inlineStr"/>
      <c r="N1567" s="5" t="inlineStr"/>
    </row>
    <row r="1568">
      <c r="A1568" s="13" t="inlineStr">
        <is>
          <t>0003892</t>
        </is>
      </c>
      <c r="B1568" s="5" t="inlineStr">
        <is>
          <t>[0003892] E MOX 250MG SUSPENSION***</t>
        </is>
      </c>
      <c r="C1568" s="5" t="inlineStr">
        <is>
          <t>دواء</t>
        </is>
      </c>
      <c r="D1568" s="13" t="inlineStr">
        <is>
          <t>01062210321506841718</t>
        </is>
      </c>
      <c r="E1568" s="14">
        <f>L1568-K1568</f>
        <v/>
      </c>
      <c r="F1568" s="14" t="n">
        <v>0</v>
      </c>
      <c r="G1568" s="14">
        <f>F1568-E1568</f>
        <v/>
      </c>
      <c r="H1568" s="7" t="n">
        <v>10.25</v>
      </c>
      <c r="I1568" s="7">
        <f>G1568*H1568</f>
        <v/>
      </c>
      <c r="J1568" s="16" t="inlineStr">
        <is>
          <t>لم يُجرد</t>
        </is>
      </c>
      <c r="K1568" s="14" t="n">
        <v>0</v>
      </c>
      <c r="L1568" s="14" t="n">
        <v>2</v>
      </c>
      <c r="M1568" s="5" t="inlineStr"/>
      <c r="N1568" s="5" t="inlineStr"/>
    </row>
    <row r="1569">
      <c r="A1569" s="13" t="inlineStr">
        <is>
          <t>00042940</t>
        </is>
      </c>
      <c r="B1569" s="5" t="inlineStr">
        <is>
          <t>[00042940] DICLOGESIC 100MG SUPP WASF</t>
        </is>
      </c>
      <c r="C1569" s="5" t="inlineStr">
        <is>
          <t>دواء</t>
        </is>
      </c>
      <c r="D1569" s="13" t="inlineStr"/>
      <c r="E1569" s="14">
        <f>L1569-K1569</f>
        <v/>
      </c>
      <c r="F1569" s="14" t="n">
        <v>0</v>
      </c>
      <c r="G1569" s="14">
        <f>F1569-E1569</f>
        <v/>
      </c>
      <c r="H1569" s="7" t="n">
        <v>11.4</v>
      </c>
      <c r="I1569" s="7">
        <f>G1569*H1569</f>
        <v/>
      </c>
      <c r="J1569" s="16" t="inlineStr">
        <is>
          <t>لم يُجرد</t>
        </is>
      </c>
      <c r="K1569" s="14" t="n">
        <v>0</v>
      </c>
      <c r="L1569" s="14" t="n">
        <v>1</v>
      </c>
      <c r="M1569" s="5" t="inlineStr"/>
      <c r="N1569" s="5" t="inlineStr"/>
    </row>
    <row r="1570">
      <c r="A1570" s="13" t="inlineStr">
        <is>
          <t>0004212</t>
        </is>
      </c>
      <c r="B1570" s="5" t="inlineStr">
        <is>
          <t>[0004212] DEPAKINE 57.64MG/ML 150 ML SYRUP</t>
        </is>
      </c>
      <c r="C1570" s="5" t="inlineStr">
        <is>
          <t>دواء</t>
        </is>
      </c>
      <c r="D1570" s="13" t="inlineStr"/>
      <c r="E1570" s="14">
        <f>L1570-K1570</f>
        <v/>
      </c>
      <c r="F1570" s="14" t="n">
        <v>0</v>
      </c>
      <c r="G1570" s="14">
        <f>F1570-E1570</f>
        <v/>
      </c>
      <c r="H1570" s="7" t="n">
        <v>20.85</v>
      </c>
      <c r="I1570" s="7">
        <f>G1570*H1570</f>
        <v/>
      </c>
      <c r="J1570" s="16" t="inlineStr">
        <is>
          <t>لم يُجرد</t>
        </is>
      </c>
      <c r="K1570" s="14" t="n">
        <v>0</v>
      </c>
      <c r="L1570" s="14" t="n">
        <v>1</v>
      </c>
      <c r="M1570" s="5" t="inlineStr"/>
      <c r="N1570" s="5" t="inlineStr"/>
    </row>
    <row r="1571">
      <c r="A1571" s="13" t="inlineStr">
        <is>
          <t>00048509</t>
        </is>
      </c>
      <c r="B1571" s="5" t="inlineStr">
        <is>
          <t>[00048509] ARGI CART SHOT 1190</t>
        </is>
      </c>
      <c r="C1571" s="5" t="inlineStr">
        <is>
          <t>دواء</t>
        </is>
      </c>
      <c r="D1571" s="13" t="inlineStr">
        <is>
          <t>0765464631190</t>
        </is>
      </c>
      <c r="E1571" s="14">
        <f>L1571-K1571</f>
        <v/>
      </c>
      <c r="F1571" s="14" t="n">
        <v>0</v>
      </c>
      <c r="G1571" s="14">
        <f>F1571-E1571</f>
        <v/>
      </c>
      <c r="H1571" s="7" t="n">
        <v>25</v>
      </c>
      <c r="I1571" s="7">
        <f>G1571*H1571</f>
        <v/>
      </c>
      <c r="J1571" s="16" t="inlineStr">
        <is>
          <t>لم يُجرد</t>
        </is>
      </c>
      <c r="K1571" s="14" t="n">
        <v>0</v>
      </c>
      <c r="L1571" s="14" t="n">
        <v>1</v>
      </c>
      <c r="M1571" s="5" t="inlineStr"/>
      <c r="N1571" s="5" t="inlineStr"/>
    </row>
    <row r="1572">
      <c r="A1572" s="13" t="inlineStr">
        <is>
          <t>00037835</t>
        </is>
      </c>
      <c r="B1572" s="5" t="inlineStr">
        <is>
          <t>[00037835] MAW ROCKET VIAL 5000 ROYAL 60ML</t>
        </is>
      </c>
      <c r="C1572" s="5" t="inlineStr">
        <is>
          <t>دواء</t>
        </is>
      </c>
      <c r="D1572" s="13" t="inlineStr">
        <is>
          <t>6286709000327</t>
        </is>
      </c>
      <c r="E1572" s="14">
        <f>L1572-K1572</f>
        <v/>
      </c>
      <c r="F1572" s="14" t="n">
        <v>0</v>
      </c>
      <c r="G1572" s="14">
        <f>F1572-E1572</f>
        <v/>
      </c>
      <c r="H1572" s="7" t="n">
        <v>21.73</v>
      </c>
      <c r="I1572" s="7">
        <f>G1572*H1572</f>
        <v/>
      </c>
      <c r="J1572" s="16" t="inlineStr">
        <is>
          <t>لم يُجرد</t>
        </is>
      </c>
      <c r="K1572" s="14" t="n">
        <v>0</v>
      </c>
      <c r="L1572" s="14" t="n">
        <v>1</v>
      </c>
      <c r="M1572" s="5" t="inlineStr"/>
      <c r="N1572" s="5" t="inlineStr"/>
    </row>
    <row r="1573">
      <c r="A1573" s="13" t="inlineStr">
        <is>
          <t>0004388</t>
        </is>
      </c>
      <c r="B1573" s="5" t="inlineStr">
        <is>
          <t>[0004388] BUTALIN SYRUP 120ML</t>
        </is>
      </c>
      <c r="C1573" s="5" t="inlineStr">
        <is>
          <t>دواء</t>
        </is>
      </c>
      <c r="D1573" s="13" t="inlineStr">
        <is>
          <t>06291100081073</t>
        </is>
      </c>
      <c r="E1573" s="14">
        <f>L1573-K1573</f>
        <v/>
      </c>
      <c r="F1573" s="14" t="n">
        <v>0</v>
      </c>
      <c r="G1573" s="14">
        <f>F1573-E1573</f>
        <v/>
      </c>
      <c r="H1573" s="7" t="n">
        <v>10.35</v>
      </c>
      <c r="I1573" s="7">
        <f>G1573*H1573</f>
        <v/>
      </c>
      <c r="J1573" s="16" t="inlineStr">
        <is>
          <t>لم يُجرد</t>
        </is>
      </c>
      <c r="K1573" s="14" t="n">
        <v>0</v>
      </c>
      <c r="L1573" s="14" t="n">
        <v>1</v>
      </c>
      <c r="M1573" s="5" t="inlineStr"/>
      <c r="N1573" s="5" t="inlineStr"/>
    </row>
    <row r="1574">
      <c r="A1574" s="13" t="inlineStr">
        <is>
          <t>0005757</t>
        </is>
      </c>
      <c r="B1574" s="5" t="inlineStr">
        <is>
          <t>[0005757] LOHIST TABLETS 10MG 10TABS</t>
        </is>
      </c>
      <c r="C1574" s="5" t="inlineStr">
        <is>
          <t>دواء</t>
        </is>
      </c>
      <c r="D1574" s="13" t="inlineStr">
        <is>
          <t>01062851050007951720</t>
        </is>
      </c>
      <c r="E1574" s="14">
        <f>L1574-K1574</f>
        <v/>
      </c>
      <c r="F1574" s="14" t="n">
        <v>0</v>
      </c>
      <c r="G1574" s="14">
        <f>F1574-E1574</f>
        <v/>
      </c>
      <c r="H1574" s="7" t="n">
        <v>10.4</v>
      </c>
      <c r="I1574" s="7">
        <f>G1574*H1574</f>
        <v/>
      </c>
      <c r="J1574" s="16" t="inlineStr">
        <is>
          <t>لم يُجرد</t>
        </is>
      </c>
      <c r="K1574" s="14" t="n">
        <v>0</v>
      </c>
      <c r="L1574" s="14" t="n">
        <v>4</v>
      </c>
      <c r="M1574" s="5" t="inlineStr"/>
      <c r="N1574" s="5" t="inlineStr"/>
    </row>
    <row r="1575">
      <c r="A1575" s="13" t="inlineStr">
        <is>
          <t>00043201</t>
        </is>
      </c>
      <c r="B1575" s="5" t="inlineStr">
        <is>
          <t>[00043201] SINEO 1MG/ML DROPS</t>
        </is>
      </c>
      <c r="C1575" s="5" t="inlineStr">
        <is>
          <t>دواء</t>
        </is>
      </c>
      <c r="D1575" s="13" t="inlineStr"/>
      <c r="E1575" s="14">
        <f>L1575-K1575</f>
        <v/>
      </c>
      <c r="F1575" s="14" t="n">
        <v>0</v>
      </c>
      <c r="G1575" s="14">
        <f>F1575-E1575</f>
        <v/>
      </c>
      <c r="H1575" s="7" t="n">
        <v>9.050000000000001</v>
      </c>
      <c r="I1575" s="7">
        <f>G1575*H1575</f>
        <v/>
      </c>
      <c r="J1575" s="16" t="inlineStr">
        <is>
          <t>لم يُجرد</t>
        </is>
      </c>
      <c r="K1575" s="14" t="n">
        <v>0</v>
      </c>
      <c r="L1575" s="14" t="n">
        <v>1</v>
      </c>
      <c r="M1575" s="5" t="inlineStr"/>
      <c r="N1575" s="5" t="inlineStr"/>
    </row>
    <row r="1576">
      <c r="A1576" s="13" t="inlineStr">
        <is>
          <t>0005736</t>
        </is>
      </c>
      <c r="B1576" s="5" t="inlineStr">
        <is>
          <t>[0005736] LORAHIST 10MG 10TAB</t>
        </is>
      </c>
      <c r="C1576" s="5" t="inlineStr">
        <is>
          <t>دواء</t>
        </is>
      </c>
      <c r="D1576" s="13" t="inlineStr">
        <is>
          <t>6281080003332</t>
        </is>
      </c>
      <c r="E1576" s="14">
        <f>L1576-K1576</f>
        <v/>
      </c>
      <c r="F1576" s="14" t="n">
        <v>0</v>
      </c>
      <c r="G1576" s="14">
        <f>F1576-E1576</f>
        <v/>
      </c>
      <c r="H1576" s="7" t="n">
        <v>16.65</v>
      </c>
      <c r="I1576" s="7">
        <f>G1576*H1576</f>
        <v/>
      </c>
      <c r="J1576" s="16" t="inlineStr">
        <is>
          <t>لم يُجرد</t>
        </is>
      </c>
      <c r="K1576" s="14" t="n">
        <v>0</v>
      </c>
      <c r="L1576" s="14" t="n">
        <v>1</v>
      </c>
      <c r="M1576" s="5" t="inlineStr"/>
      <c r="N1576" s="5" t="inlineStr"/>
    </row>
    <row r="1577">
      <c r="A1577" s="13" t="inlineStr">
        <is>
          <t>0005035</t>
        </is>
      </c>
      <c r="B1577" s="5" t="inlineStr">
        <is>
          <t>[0005035] RINOFED PLUS 30S TAB</t>
        </is>
      </c>
      <c r="C1577" s="5" t="inlineStr">
        <is>
          <t>دواء</t>
        </is>
      </c>
      <c r="D1577" s="13" t="inlineStr"/>
      <c r="E1577" s="14">
        <f>L1577-K1577</f>
        <v/>
      </c>
      <c r="F1577" s="14" t="n">
        <v>0</v>
      </c>
      <c r="G1577" s="14">
        <f>F1577-E1577</f>
        <v/>
      </c>
      <c r="H1577" s="7" t="n">
        <v>8.65</v>
      </c>
      <c r="I1577" s="7">
        <f>G1577*H1577</f>
        <v/>
      </c>
      <c r="J1577" s="16" t="inlineStr">
        <is>
          <t>لم يُجرد</t>
        </is>
      </c>
      <c r="K1577" s="14" t="n">
        <v>0</v>
      </c>
      <c r="L1577" s="14" t="n">
        <v>1</v>
      </c>
      <c r="M1577" s="5" t="inlineStr"/>
      <c r="N1577" s="5" t="inlineStr"/>
    </row>
    <row r="1578">
      <c r="A1578" s="13" t="inlineStr">
        <is>
          <t>0005043</t>
        </is>
      </c>
      <c r="B1578" s="5" t="inlineStr">
        <is>
          <t>[0005043] RISPERDAL 1 MG 6 TAB</t>
        </is>
      </c>
      <c r="C1578" s="5" t="inlineStr">
        <is>
          <t>دواء</t>
        </is>
      </c>
      <c r="D1578" s="13" t="inlineStr"/>
      <c r="E1578" s="14">
        <f>L1578-K1578</f>
        <v/>
      </c>
      <c r="F1578" s="14" t="n">
        <v>0</v>
      </c>
      <c r="G1578" s="14">
        <f>F1578-E1578</f>
        <v/>
      </c>
      <c r="H1578" s="7" t="n">
        <v>7.75</v>
      </c>
      <c r="I1578" s="7">
        <f>G1578*H1578</f>
        <v/>
      </c>
      <c r="J1578" s="16" t="inlineStr">
        <is>
          <t>لم يُجرد</t>
        </is>
      </c>
      <c r="K1578" s="14" t="n">
        <v>0</v>
      </c>
      <c r="L1578" s="14" t="n">
        <v>1</v>
      </c>
      <c r="M1578" s="5" t="inlineStr"/>
      <c r="N1578" s="5" t="inlineStr"/>
    </row>
    <row r="1579">
      <c r="A1579" s="13" t="inlineStr">
        <is>
          <t>00019872</t>
        </is>
      </c>
      <c r="B1579" s="5" t="inlineStr">
        <is>
          <t>[00019872] LAXOCODYL 10MG SUPP ADULTS</t>
        </is>
      </c>
      <c r="C1579" s="5" t="inlineStr">
        <is>
          <t>دواء</t>
        </is>
      </c>
      <c r="D1579" s="13" t="inlineStr"/>
      <c r="E1579" s="14">
        <f>L1579-K1579</f>
        <v/>
      </c>
      <c r="F1579" s="14" t="n">
        <v>0</v>
      </c>
      <c r="G1579" s="14">
        <f>F1579-E1579</f>
        <v/>
      </c>
      <c r="H1579" s="7" t="n">
        <v>7.55</v>
      </c>
      <c r="I1579" s="7">
        <f>G1579*H1579</f>
        <v/>
      </c>
      <c r="J1579" s="16" t="inlineStr">
        <is>
          <t>لم يُجرد</t>
        </is>
      </c>
      <c r="K1579" s="14" t="n">
        <v>0</v>
      </c>
      <c r="L1579" s="14" t="n">
        <v>1</v>
      </c>
      <c r="M1579" s="5" t="inlineStr"/>
      <c r="N1579" s="5" t="inlineStr"/>
    </row>
    <row r="1580">
      <c r="A1580" s="13" t="inlineStr">
        <is>
          <t>0004194</t>
        </is>
      </c>
      <c r="B1580" s="5" t="inlineStr">
        <is>
          <t>[0004194] DECOZAL NASAL SPRAY 10ML</t>
        </is>
      </c>
      <c r="C1580" s="5" t="inlineStr">
        <is>
          <t>دواء</t>
        </is>
      </c>
      <c r="D1580" s="13" t="inlineStr"/>
      <c r="E1580" s="14">
        <f>L1580-K1580</f>
        <v/>
      </c>
      <c r="F1580" s="14" t="n">
        <v>0</v>
      </c>
      <c r="G1580" s="14">
        <f>F1580-E1580</f>
        <v/>
      </c>
      <c r="H1580" s="7" t="n">
        <v>7.55</v>
      </c>
      <c r="I1580" s="7">
        <f>G1580*H1580</f>
        <v/>
      </c>
      <c r="J1580" s="16" t="inlineStr">
        <is>
          <t>لم يُجرد</t>
        </is>
      </c>
      <c r="K1580" s="14" t="n">
        <v>0</v>
      </c>
      <c r="L1580" s="14" t="n">
        <v>1</v>
      </c>
      <c r="M1580" s="5" t="inlineStr"/>
      <c r="N1580" s="5" t="inlineStr"/>
    </row>
    <row r="1581">
      <c r="A1581" s="13" t="inlineStr">
        <is>
          <t>00035336</t>
        </is>
      </c>
      <c r="B1581" s="5" t="inlineStr">
        <is>
          <t>[00035336] SPASMOPAN 10MG 20TAB</t>
        </is>
      </c>
      <c r="C1581" s="5" t="inlineStr">
        <is>
          <t>دواء</t>
        </is>
      </c>
      <c r="D1581" s="13" t="inlineStr"/>
      <c r="E1581" s="14">
        <f>L1581-K1581</f>
        <v/>
      </c>
      <c r="F1581" s="14" t="n">
        <v>0</v>
      </c>
      <c r="G1581" s="14">
        <f>F1581-E1581</f>
        <v/>
      </c>
      <c r="H1581" s="7" t="n">
        <v>7.4</v>
      </c>
      <c r="I1581" s="7">
        <f>G1581*H1581</f>
        <v/>
      </c>
      <c r="J1581" s="16" t="inlineStr">
        <is>
          <t>لم يُجرد</t>
        </is>
      </c>
      <c r="K1581" s="14" t="n">
        <v>0</v>
      </c>
      <c r="L1581" s="14" t="n">
        <v>1</v>
      </c>
      <c r="M1581" s="5" t="inlineStr"/>
      <c r="N1581" s="5" t="inlineStr"/>
    </row>
    <row r="1582">
      <c r="A1582" s="13" t="inlineStr">
        <is>
          <t>0004109</t>
        </is>
      </c>
      <c r="B1582" s="5" t="inlineStr">
        <is>
          <t>[0004109] ADOL 500MG SUPP</t>
        </is>
      </c>
      <c r="C1582" s="5" t="inlineStr">
        <is>
          <t>دواء</t>
        </is>
      </c>
      <c r="D1582" s="13" t="inlineStr">
        <is>
          <t>01062911000800521720</t>
        </is>
      </c>
      <c r="E1582" s="14">
        <f>L1582-K1582</f>
        <v/>
      </c>
      <c r="F1582" s="14" t="n">
        <v>0</v>
      </c>
      <c r="G1582" s="14">
        <f>F1582-E1582</f>
        <v/>
      </c>
      <c r="H1582" s="7" t="n">
        <v>7.4</v>
      </c>
      <c r="I1582" s="7">
        <f>G1582*H1582</f>
        <v/>
      </c>
      <c r="J1582" s="16" t="inlineStr">
        <is>
          <t>لم يُجرد</t>
        </is>
      </c>
      <c r="K1582" s="14" t="n">
        <v>0</v>
      </c>
      <c r="L1582" s="14" t="n">
        <v>1</v>
      </c>
      <c r="M1582" s="5" t="inlineStr"/>
      <c r="N1582" s="5" t="inlineStr"/>
    </row>
    <row r="1583">
      <c r="A1583" s="13" t="inlineStr">
        <is>
          <t>00046386</t>
        </is>
      </c>
      <c r="B1583" s="5" t="inlineStr">
        <is>
          <t>[00046386] EMIDOL 500MG 24TAB</t>
        </is>
      </c>
      <c r="C1583" s="5" t="inlineStr">
        <is>
          <t>دواء</t>
        </is>
      </c>
      <c r="D1583" s="13" t="inlineStr">
        <is>
          <t>6291103730343</t>
        </is>
      </c>
      <c r="E1583" s="14">
        <f>L1583-K1583</f>
        <v/>
      </c>
      <c r="F1583" s="14" t="n">
        <v>0</v>
      </c>
      <c r="G1583" s="14">
        <f>F1583-E1583</f>
        <v/>
      </c>
      <c r="H1583" s="7" t="n">
        <v>3.45</v>
      </c>
      <c r="I1583" s="7">
        <f>G1583*H1583</f>
        <v/>
      </c>
      <c r="J1583" s="16" t="inlineStr">
        <is>
          <t>لم يُجرد</t>
        </is>
      </c>
      <c r="K1583" s="14" t="n">
        <v>0</v>
      </c>
      <c r="L1583" s="14" t="n">
        <v>2</v>
      </c>
      <c r="M1583" s="5" t="inlineStr"/>
      <c r="N1583" s="5" t="inlineStr"/>
    </row>
    <row r="1584">
      <c r="A1584" s="13" t="inlineStr">
        <is>
          <t>0003780</t>
        </is>
      </c>
      <c r="B1584" s="5" t="inlineStr">
        <is>
          <t>[0003780] FINALLERGE SYRUP</t>
        </is>
      </c>
      <c r="C1584" s="5" t="inlineStr">
        <is>
          <t>دواء</t>
        </is>
      </c>
      <c r="D1584" s="13" t="inlineStr">
        <is>
          <t>06251106200281</t>
        </is>
      </c>
      <c r="E1584" s="14">
        <f>L1584-K1584</f>
        <v/>
      </c>
      <c r="F1584" s="14" t="n">
        <v>0</v>
      </c>
      <c r="G1584" s="14">
        <f>F1584-E1584</f>
        <v/>
      </c>
      <c r="H1584" s="7" t="n">
        <v>6.6</v>
      </c>
      <c r="I1584" s="7">
        <f>G1584*H1584</f>
        <v/>
      </c>
      <c r="J1584" s="16" t="inlineStr">
        <is>
          <t>لم يُجرد</t>
        </is>
      </c>
      <c r="K1584" s="14" t="n">
        <v>0</v>
      </c>
      <c r="L1584" s="14" t="n">
        <v>1</v>
      </c>
      <c r="M1584" s="5" t="inlineStr"/>
      <c r="N1584" s="5" t="inlineStr"/>
    </row>
    <row r="1585">
      <c r="A1585" s="13" t="inlineStr">
        <is>
          <t>0005471</t>
        </is>
      </c>
      <c r="B1585" s="5" t="inlineStr">
        <is>
          <t>[0005471] OCURED EYE DROPS</t>
        </is>
      </c>
      <c r="C1585" s="5" t="inlineStr">
        <is>
          <t>دواء</t>
        </is>
      </c>
      <c r="D1585" s="13" t="inlineStr">
        <is>
          <t>6281080001918</t>
        </is>
      </c>
      <c r="E1585" s="14">
        <f>L1585-K1585</f>
        <v/>
      </c>
      <c r="F1585" s="14" t="n">
        <v>0</v>
      </c>
      <c r="G1585" s="14">
        <f>F1585-E1585</f>
        <v/>
      </c>
      <c r="H1585" s="7" t="n">
        <v>8.1</v>
      </c>
      <c r="I1585" s="7">
        <f>G1585*H1585</f>
        <v/>
      </c>
      <c r="J1585" s="16" t="inlineStr">
        <is>
          <t>لم يُجرد</t>
        </is>
      </c>
      <c r="K1585" s="14" t="n">
        <v>0</v>
      </c>
      <c r="L1585" s="14" t="n">
        <v>1</v>
      </c>
      <c r="M1585" s="5" t="inlineStr"/>
      <c r="N1585" s="5" t="inlineStr"/>
    </row>
    <row r="1586">
      <c r="A1586" s="13" t="inlineStr">
        <is>
          <t>00020456</t>
        </is>
      </c>
      <c r="B1586" s="5" t="inlineStr">
        <is>
          <t>[00020456] AQUAMER 30ML NASAL SPRAY</t>
        </is>
      </c>
      <c r="C1586" s="5" t="inlineStr">
        <is>
          <t>دواء</t>
        </is>
      </c>
      <c r="D1586" s="13" t="inlineStr">
        <is>
          <t>8436542625364</t>
        </is>
      </c>
      <c r="E1586" s="14">
        <f>L1586-K1586</f>
        <v/>
      </c>
      <c r="F1586" s="14" t="n">
        <v>0</v>
      </c>
      <c r="G1586" s="14">
        <f>F1586-E1586</f>
        <v/>
      </c>
      <c r="H1586" s="7" t="n">
        <v>49</v>
      </c>
      <c r="I1586" s="7">
        <f>G1586*H1586</f>
        <v/>
      </c>
      <c r="J1586" s="16" t="inlineStr">
        <is>
          <t>لم يُجرد</t>
        </is>
      </c>
      <c r="K1586" s="14" t="n">
        <v>0</v>
      </c>
      <c r="L1586" s="14" t="n">
        <v>2</v>
      </c>
      <c r="M1586" s="5" t="inlineStr"/>
      <c r="N1586" s="5" t="inlineStr"/>
    </row>
    <row r="1587">
      <c r="A1587" s="13" t="inlineStr">
        <is>
          <t>0004138</t>
        </is>
      </c>
      <c r="B1587" s="5" t="inlineStr">
        <is>
          <t>[0004138] COXICAM 7.5MG 10TAB</t>
        </is>
      </c>
      <c r="C1587" s="5" t="inlineStr">
        <is>
          <t>دواء</t>
        </is>
      </c>
      <c r="D1587" s="13" t="inlineStr"/>
      <c r="E1587" s="14">
        <f>L1587-K1587</f>
        <v/>
      </c>
      <c r="F1587" s="14" t="n">
        <v>0</v>
      </c>
      <c r="G1587" s="14">
        <f>F1587-E1587</f>
        <v/>
      </c>
      <c r="H1587" s="7" t="n">
        <v>10.85</v>
      </c>
      <c r="I1587" s="7">
        <f>G1587*H1587</f>
        <v/>
      </c>
      <c r="J1587" s="16" t="inlineStr">
        <is>
          <t>لم يُجرد</t>
        </is>
      </c>
      <c r="K1587" s="14" t="n">
        <v>0</v>
      </c>
      <c r="L1587" s="14" t="n">
        <v>1</v>
      </c>
      <c r="M1587" s="5" t="inlineStr"/>
      <c r="N1587" s="5" t="inlineStr"/>
    </row>
    <row r="1588">
      <c r="A1588" s="13" t="inlineStr">
        <is>
          <t>0003764</t>
        </is>
      </c>
      <c r="B1588" s="5" t="inlineStr">
        <is>
          <t>[0003764] APISAL EYE/NOSE DROPS 15ML</t>
        </is>
      </c>
      <c r="C1588" s="5" t="inlineStr">
        <is>
          <t>دواء</t>
        </is>
      </c>
      <c r="D1588" s="13" t="inlineStr"/>
      <c r="E1588" s="14">
        <f>L1588-K1588</f>
        <v/>
      </c>
      <c r="F1588" s="14" t="n">
        <v>0</v>
      </c>
      <c r="G1588" s="14">
        <f>F1588-E1588</f>
        <v/>
      </c>
      <c r="H1588" s="7" t="n">
        <v>5.7</v>
      </c>
      <c r="I1588" s="7">
        <f>G1588*H1588</f>
        <v/>
      </c>
      <c r="J1588" s="16" t="inlineStr">
        <is>
          <t>لم يُجرد</t>
        </is>
      </c>
      <c r="K1588" s="14" t="n">
        <v>0</v>
      </c>
      <c r="L1588" s="14" t="n">
        <v>1</v>
      </c>
      <c r="M1588" s="5" t="inlineStr"/>
      <c r="N1588" s="5" t="inlineStr"/>
    </row>
    <row r="1589">
      <c r="A1589" s="13" t="inlineStr">
        <is>
          <t>00045799</t>
        </is>
      </c>
      <c r="B1589" s="5" t="inlineStr">
        <is>
          <t>[00045799] BENDAZOLE 100MG 6TAB</t>
        </is>
      </c>
      <c r="C1589" s="5" t="inlineStr">
        <is>
          <t>دواء</t>
        </is>
      </c>
      <c r="D1589" s="13" t="inlineStr">
        <is>
          <t>06251154024013</t>
        </is>
      </c>
      <c r="E1589" s="14">
        <f>L1589-K1589</f>
        <v/>
      </c>
      <c r="F1589" s="14" t="n">
        <v>0</v>
      </c>
      <c r="G1589" s="14">
        <f>F1589-E1589</f>
        <v/>
      </c>
      <c r="H1589" s="7" t="n">
        <v>5.45</v>
      </c>
      <c r="I1589" s="7">
        <f>G1589*H1589</f>
        <v/>
      </c>
      <c r="J1589" s="16" t="inlineStr">
        <is>
          <t>لم يُجرد</t>
        </is>
      </c>
      <c r="K1589" s="14" t="n">
        <v>0</v>
      </c>
      <c r="L1589" s="14" t="n">
        <v>1</v>
      </c>
      <c r="M1589" s="5" t="inlineStr"/>
      <c r="N1589" s="5" t="inlineStr"/>
    </row>
    <row r="1590">
      <c r="A1590" s="13" t="inlineStr">
        <is>
          <t>0005607</t>
        </is>
      </c>
      <c r="B1590" s="5" t="inlineStr">
        <is>
          <t>[0005607] MUCOGEL SUSPENSION 125ML</t>
        </is>
      </c>
      <c r="C1590" s="5" t="inlineStr">
        <is>
          <t>دواء</t>
        </is>
      </c>
      <c r="D1590" s="13" t="inlineStr"/>
      <c r="E1590" s="14">
        <f>L1590-K1590</f>
        <v/>
      </c>
      <c r="F1590" s="14" t="n">
        <v>0</v>
      </c>
      <c r="G1590" s="14">
        <f>F1590-E1590</f>
        <v/>
      </c>
      <c r="H1590" s="7" t="n">
        <v>7.15</v>
      </c>
      <c r="I1590" s="7">
        <f>G1590*H1590</f>
        <v/>
      </c>
      <c r="J1590" s="16" t="inlineStr">
        <is>
          <t>لم يُجرد</t>
        </is>
      </c>
      <c r="K1590" s="14" t="n">
        <v>0</v>
      </c>
      <c r="L1590" s="14" t="n">
        <v>1</v>
      </c>
      <c r="M1590" s="5" t="inlineStr"/>
      <c r="N1590" s="5" t="inlineStr"/>
    </row>
    <row r="1591">
      <c r="A1591" s="13" t="inlineStr">
        <is>
          <t>00045649</t>
        </is>
      </c>
      <c r="B1591" s="5" t="inlineStr">
        <is>
          <t>[00045649] ALLERFIN 4MG TAB</t>
        </is>
      </c>
      <c r="C1591" s="5" t="inlineStr">
        <is>
          <t>دواء</t>
        </is>
      </c>
      <c r="D1591" s="13" t="inlineStr"/>
      <c r="E1591" s="14">
        <f>L1591-K1591</f>
        <v/>
      </c>
      <c r="F1591" s="14" t="n">
        <v>0</v>
      </c>
      <c r="G1591" s="14">
        <f>F1591-E1591</f>
        <v/>
      </c>
      <c r="H1591" s="7" t="n">
        <v>2.55</v>
      </c>
      <c r="I1591" s="7">
        <f>G1591*H1591</f>
        <v/>
      </c>
      <c r="J1591" s="16" t="inlineStr">
        <is>
          <t>لم يُجرد</t>
        </is>
      </c>
      <c r="K1591" s="14" t="n">
        <v>0</v>
      </c>
      <c r="L1591" s="14" t="n">
        <v>2</v>
      </c>
      <c r="M1591" s="5" t="inlineStr"/>
      <c r="N1591" s="5" t="inlineStr"/>
    </row>
    <row r="1592">
      <c r="A1592" s="13" t="inlineStr">
        <is>
          <t>0004457</t>
        </is>
      </c>
      <c r="B1592" s="5" t="inlineStr">
        <is>
          <t>[0004457] BETADERM CREAM 20 GM***</t>
        </is>
      </c>
      <c r="C1592" s="5" t="inlineStr">
        <is>
          <t>دواء</t>
        </is>
      </c>
      <c r="D1592" s="13" t="inlineStr">
        <is>
          <t>01062210322402621719</t>
        </is>
      </c>
      <c r="E1592" s="14">
        <f>L1592-K1592</f>
        <v/>
      </c>
      <c r="F1592" s="14" t="n">
        <v>0</v>
      </c>
      <c r="G1592" s="14">
        <f>F1592-E1592</f>
        <v/>
      </c>
      <c r="H1592" s="7" t="n">
        <v>4.2</v>
      </c>
      <c r="I1592" s="7">
        <f>G1592*H1592</f>
        <v/>
      </c>
      <c r="J1592" s="16" t="inlineStr">
        <is>
          <t>لم يُجرد</t>
        </is>
      </c>
      <c r="K1592" s="14" t="n">
        <v>0</v>
      </c>
      <c r="L1592" s="14" t="n">
        <v>1</v>
      </c>
      <c r="M1592" s="5" t="inlineStr"/>
      <c r="N1592" s="5" t="inlineStr"/>
    </row>
    <row r="1593">
      <c r="A1593" s="13" t="inlineStr">
        <is>
          <t>00042574</t>
        </is>
      </c>
      <c r="B1593" s="5" t="inlineStr">
        <is>
          <t>[00042574] STREPWELLS NIGHT WATER 75 ML 7639</t>
        </is>
      </c>
      <c r="C1593" s="5" t="inlineStr">
        <is>
          <t>دواء</t>
        </is>
      </c>
      <c r="D1593" s="13" t="inlineStr">
        <is>
          <t>6288005207639</t>
        </is>
      </c>
      <c r="E1593" s="14">
        <f>L1593-K1593</f>
        <v/>
      </c>
      <c r="F1593" s="14" t="n">
        <v>0</v>
      </c>
      <c r="G1593" s="14">
        <f>F1593-E1593</f>
        <v/>
      </c>
      <c r="H1593" s="7" t="n">
        <v>17.9</v>
      </c>
      <c r="I1593" s="7">
        <f>G1593*H1593</f>
        <v/>
      </c>
      <c r="J1593" s="16" t="inlineStr">
        <is>
          <t>لم يُجرد</t>
        </is>
      </c>
      <c r="K1593" s="14" t="n">
        <v>0</v>
      </c>
      <c r="L1593" s="14" t="n">
        <v>1</v>
      </c>
      <c r="M1593" s="5" t="inlineStr"/>
      <c r="N1593" s="5" t="inlineStr"/>
    </row>
    <row r="1594">
      <c r="A1594" s="13" t="inlineStr">
        <is>
          <t>00012940</t>
        </is>
      </c>
      <c r="B1594" s="5" t="inlineStr">
        <is>
          <t>[00012940] I CARE B.G.M. DEVICE(113900)</t>
        </is>
      </c>
      <c r="C1594" s="5" t="inlineStr">
        <is>
          <t>دواء</t>
        </is>
      </c>
      <c r="D1594" s="13" t="inlineStr">
        <is>
          <t>4710636646010</t>
        </is>
      </c>
      <c r="E1594" s="14">
        <f>L1594-K1594</f>
        <v/>
      </c>
      <c r="F1594" s="14" t="n">
        <v>0</v>
      </c>
      <c r="G1594" s="14">
        <f>F1594-E1594</f>
        <v/>
      </c>
      <c r="H1594" s="7" t="n">
        <v>200</v>
      </c>
      <c r="I1594" s="7">
        <f>G1594*H1594</f>
        <v/>
      </c>
      <c r="J1594" s="16" t="inlineStr">
        <is>
          <t>لم يُجرد</t>
        </is>
      </c>
      <c r="K1594" s="14" t="n">
        <v>0</v>
      </c>
      <c r="L1594" s="14" t="n">
        <v>2</v>
      </c>
      <c r="M1594" s="5" t="inlineStr"/>
      <c r="N1594" s="5" t="inlineStr"/>
    </row>
    <row r="1595">
      <c r="A1595" s="13" t="inlineStr">
        <is>
          <t>00021118</t>
        </is>
      </c>
      <c r="B1595" s="5" t="inlineStr">
        <is>
          <t>[00021118] OMEGA-3 1000MG MOTHERNEST 60CAP</t>
        </is>
      </c>
      <c r="C1595" s="5" t="inlineStr">
        <is>
          <t>دواء</t>
        </is>
      </c>
      <c r="D1595" s="13" t="inlineStr">
        <is>
          <t>9327155004075</t>
        </is>
      </c>
      <c r="E1595" s="14">
        <f>L1595-K1595</f>
        <v/>
      </c>
      <c r="F1595" s="14" t="n">
        <v>0</v>
      </c>
      <c r="G1595" s="14">
        <f>F1595-E1595</f>
        <v/>
      </c>
      <c r="H1595" s="7" t="n">
        <v>125</v>
      </c>
      <c r="I1595" s="7">
        <f>G1595*H1595</f>
        <v/>
      </c>
      <c r="J1595" s="16" t="inlineStr">
        <is>
          <t>لم يُجرد</t>
        </is>
      </c>
      <c r="K1595" s="14" t="n">
        <v>0</v>
      </c>
      <c r="L1595" s="14" t="n">
        <v>2</v>
      </c>
      <c r="M1595" s="5" t="inlineStr"/>
      <c r="N1595" s="5" t="inlineStr"/>
    </row>
    <row r="1596">
      <c r="A1596" s="13" t="inlineStr">
        <is>
          <t>00030465</t>
        </is>
      </c>
      <c r="B1596" s="5" t="inlineStr">
        <is>
          <t>[00030465] SPEKTRUM ZN SE C 20LOZ</t>
        </is>
      </c>
      <c r="C1596" s="5" t="inlineStr">
        <is>
          <t>دواء</t>
        </is>
      </c>
      <c r="D1596" s="13" t="inlineStr">
        <is>
          <t>4011548038925</t>
        </is>
      </c>
      <c r="E1596" s="14">
        <f>L1596-K1596</f>
        <v/>
      </c>
      <c r="F1596" s="14" t="n">
        <v>0</v>
      </c>
      <c r="G1596" s="14">
        <f>F1596-E1596</f>
        <v/>
      </c>
      <c r="H1596" s="7" t="n">
        <v>42.6</v>
      </c>
      <c r="I1596" s="7">
        <f>G1596*H1596</f>
        <v/>
      </c>
      <c r="J1596" s="16" t="inlineStr">
        <is>
          <t>لم يُجرد</t>
        </is>
      </c>
      <c r="K1596" s="14" t="n">
        <v>0</v>
      </c>
      <c r="L1596" s="14" t="n">
        <v>1</v>
      </c>
      <c r="M1596" s="5" t="inlineStr"/>
      <c r="N1596" s="5" t="inlineStr"/>
    </row>
    <row r="1597">
      <c r="A1597" s="13" t="inlineStr">
        <is>
          <t>00030570</t>
        </is>
      </c>
      <c r="B1597" s="5" t="inlineStr">
        <is>
          <t>[00030570] NIZORAL DAILY CARE ANTIDAND SHAMPOO 200ML</t>
        </is>
      </c>
      <c r="C1597" s="5" t="inlineStr">
        <is>
          <t>دواء</t>
        </is>
      </c>
      <c r="D1597" s="13" t="inlineStr">
        <is>
          <t>4011548046982</t>
        </is>
      </c>
      <c r="E1597" s="14">
        <f>L1597-K1597</f>
        <v/>
      </c>
      <c r="F1597" s="14" t="n">
        <v>0</v>
      </c>
      <c r="G1597" s="14">
        <f>F1597-E1597</f>
        <v/>
      </c>
      <c r="H1597" s="7" t="n">
        <v>60</v>
      </c>
      <c r="I1597" s="7">
        <f>G1597*H1597</f>
        <v/>
      </c>
      <c r="J1597" s="16" t="inlineStr">
        <is>
          <t>لم يُجرد</t>
        </is>
      </c>
      <c r="K1597" s="14" t="n">
        <v>0</v>
      </c>
      <c r="L1597" s="14" t="n">
        <v>4</v>
      </c>
      <c r="M1597" s="5" t="inlineStr"/>
      <c r="N1597" s="5" t="inlineStr"/>
    </row>
    <row r="1598">
      <c r="A1598" s="13" t="inlineStr">
        <is>
          <t>00037201</t>
        </is>
      </c>
      <c r="B1598" s="5" t="inlineStr">
        <is>
          <t>[00037201] EFFERVIT VIT C PLUS ZINC 20 TAB DALLAH 452</t>
        </is>
      </c>
      <c r="C1598" s="5" t="inlineStr">
        <is>
          <t>دواء</t>
        </is>
      </c>
      <c r="D1598" s="13" t="inlineStr">
        <is>
          <t>6926141723452</t>
        </is>
      </c>
      <c r="E1598" s="14">
        <f>L1598-K1598</f>
        <v/>
      </c>
      <c r="F1598" s="14" t="n">
        <v>0</v>
      </c>
      <c r="G1598" s="14">
        <f>F1598-E1598</f>
        <v/>
      </c>
      <c r="H1598" s="7" t="n">
        <v>18.9</v>
      </c>
      <c r="I1598" s="7">
        <f>G1598*H1598</f>
        <v/>
      </c>
      <c r="J1598" s="16" t="inlineStr">
        <is>
          <t>لم يُجرد</t>
        </is>
      </c>
      <c r="K1598" s="14" t="n">
        <v>0</v>
      </c>
      <c r="L1598" s="14" t="n">
        <v>6</v>
      </c>
      <c r="M1598" s="5" t="inlineStr"/>
      <c r="N1598" s="5" t="inlineStr"/>
    </row>
    <row r="1599">
      <c r="A1599" s="13" t="inlineStr">
        <is>
          <t>00037716</t>
        </is>
      </c>
      <c r="B1599" s="5" t="inlineStr">
        <is>
          <t>[00037716] MOTHERNEST ROYAL JELLY 60 CAP 4082</t>
        </is>
      </c>
      <c r="C1599" s="5" t="inlineStr">
        <is>
          <t>دواء</t>
        </is>
      </c>
      <c r="D1599" s="13" t="inlineStr">
        <is>
          <t>9327155004082</t>
        </is>
      </c>
      <c r="E1599" s="14">
        <f>L1599-K1599</f>
        <v/>
      </c>
      <c r="F1599" s="14" t="n">
        <v>0</v>
      </c>
      <c r="G1599" s="14">
        <f>F1599-E1599</f>
        <v/>
      </c>
      <c r="H1599" s="7" t="n">
        <v>140</v>
      </c>
      <c r="I1599" s="7">
        <f>G1599*H1599</f>
        <v/>
      </c>
      <c r="J1599" s="16" t="inlineStr">
        <is>
          <t>لم يُجرد</t>
        </is>
      </c>
      <c r="K1599" s="14" t="n">
        <v>0</v>
      </c>
      <c r="L1599" s="14" t="n">
        <v>5</v>
      </c>
      <c r="M1599" s="5" t="inlineStr"/>
      <c r="N1599" s="5" t="inlineStr"/>
    </row>
    <row r="1600">
      <c r="A1600" s="13" t="inlineStr">
        <is>
          <t>00037717</t>
        </is>
      </c>
      <c r="B1600" s="5" t="inlineStr">
        <is>
          <t>[00037717] PROPLIS MANUKA HONEY&amp; GINGER MOTHERNEST LOZ 8431</t>
        </is>
      </c>
      <c r="C1600" s="5" t="inlineStr">
        <is>
          <t>دواء</t>
        </is>
      </c>
      <c r="D1600" s="13" t="inlineStr">
        <is>
          <t>9327155008431</t>
        </is>
      </c>
      <c r="E1600" s="14">
        <f>L1600-K1600</f>
        <v/>
      </c>
      <c r="F1600" s="14" t="n">
        <v>0</v>
      </c>
      <c r="G1600" s="14">
        <f>F1600-E1600</f>
        <v/>
      </c>
      <c r="H1600" s="7" t="n">
        <v>30</v>
      </c>
      <c r="I1600" s="7">
        <f>G1600*H1600</f>
        <v/>
      </c>
      <c r="J1600" s="16" t="inlineStr">
        <is>
          <t>لم يُجرد</t>
        </is>
      </c>
      <c r="K1600" s="14" t="n">
        <v>0</v>
      </c>
      <c r="L1600" s="14" t="n">
        <v>3</v>
      </c>
      <c r="M1600" s="5" t="inlineStr"/>
      <c r="N1600" s="5" t="inlineStr"/>
    </row>
    <row r="1601">
      <c r="A1601" s="13" t="inlineStr">
        <is>
          <t>00037718</t>
        </is>
      </c>
      <c r="B1601" s="5" t="inlineStr">
        <is>
          <t>[00037718] PROPOLIS BLACK ELDERBERRY HONEY LOZENGES 8714</t>
        </is>
      </c>
      <c r="C1601" s="5" t="inlineStr">
        <is>
          <t>دواء</t>
        </is>
      </c>
      <c r="D1601" s="13" t="inlineStr">
        <is>
          <t>9327155008714</t>
        </is>
      </c>
      <c r="E1601" s="14">
        <f>L1601-K1601</f>
        <v/>
      </c>
      <c r="F1601" s="14" t="n">
        <v>0</v>
      </c>
      <c r="G1601" s="14">
        <f>F1601-E1601</f>
        <v/>
      </c>
      <c r="H1601" s="7" t="n">
        <v>30</v>
      </c>
      <c r="I1601" s="7">
        <f>G1601*H1601</f>
        <v/>
      </c>
      <c r="J1601" s="16" t="inlineStr">
        <is>
          <t>لم يُجرد</t>
        </is>
      </c>
      <c r="K1601" s="14" t="n">
        <v>0</v>
      </c>
      <c r="L1601" s="14" t="n">
        <v>6</v>
      </c>
      <c r="M1601" s="5" t="inlineStr"/>
      <c r="N1601" s="5" t="inlineStr"/>
    </row>
    <row r="1602">
      <c r="A1602" s="13" t="inlineStr">
        <is>
          <t>00040398</t>
        </is>
      </c>
      <c r="B1602" s="5" t="inlineStr">
        <is>
          <t>[00040398] VIVAGEL BV VAG GEL</t>
        </is>
      </c>
      <c r="C1602" s="5" t="inlineStr">
        <is>
          <t>دواء</t>
        </is>
      </c>
      <c r="D1602" s="13" t="inlineStr"/>
      <c r="E1602" s="14">
        <f>L1602-K1602</f>
        <v/>
      </c>
      <c r="F1602" s="14" t="n">
        <v>0</v>
      </c>
      <c r="G1602" s="14">
        <f>F1602-E1602</f>
        <v/>
      </c>
      <c r="H1602" s="7" t="n">
        <v>175</v>
      </c>
      <c r="I1602" s="7">
        <f>G1602*H1602</f>
        <v/>
      </c>
      <c r="J1602" s="16" t="inlineStr">
        <is>
          <t>لم يُجرد</t>
        </is>
      </c>
      <c r="K1602" s="14" t="n">
        <v>0</v>
      </c>
      <c r="L1602" s="14" t="n">
        <v>1</v>
      </c>
      <c r="M1602" s="5" t="inlineStr"/>
      <c r="N1602" s="5" t="inlineStr"/>
    </row>
    <row r="1603">
      <c r="A1603" s="13" t="inlineStr">
        <is>
          <t>00042480</t>
        </is>
      </c>
      <c r="B1603" s="5" t="inlineStr">
        <is>
          <t>[00042480] NIZORAL CARE CONDITIONER 200 ML 6845</t>
        </is>
      </c>
      <c r="C1603" s="5" t="inlineStr">
        <is>
          <t>دواء</t>
        </is>
      </c>
      <c r="D1603" s="13" t="inlineStr">
        <is>
          <t>4011548046845</t>
        </is>
      </c>
      <c r="E1603" s="14">
        <f>L1603-K1603</f>
        <v/>
      </c>
      <c r="F1603" s="14" t="n">
        <v>0</v>
      </c>
      <c r="G1603" s="14">
        <f>F1603-E1603</f>
        <v/>
      </c>
      <c r="H1603" s="7" t="n">
        <v>68</v>
      </c>
      <c r="I1603" s="7">
        <f>G1603*H1603</f>
        <v/>
      </c>
      <c r="J1603" s="16" t="inlineStr">
        <is>
          <t>لم يُجرد</t>
        </is>
      </c>
      <c r="K1603" s="14" t="n">
        <v>0</v>
      </c>
      <c r="L1603" s="14" t="n">
        <v>3</v>
      </c>
      <c r="M1603" s="5" t="inlineStr"/>
      <c r="N1603" s="5" t="inlineStr"/>
    </row>
    <row r="1604">
      <c r="A1604" s="13" t="inlineStr">
        <is>
          <t>00043744</t>
        </is>
      </c>
      <c r="B1604" s="5" t="inlineStr">
        <is>
          <t>[00043744] CEFAJECT 1000MG IM 3.5ML INJECTION</t>
        </is>
      </c>
      <c r="C1604" s="5" t="inlineStr">
        <is>
          <t>دواء</t>
        </is>
      </c>
      <c r="D1604" s="13" t="inlineStr">
        <is>
          <t>08002660026521</t>
        </is>
      </c>
      <c r="E1604" s="14">
        <f>L1604-K1604</f>
        <v/>
      </c>
      <c r="F1604" s="14" t="n">
        <v>0</v>
      </c>
      <c r="G1604" s="14">
        <f>F1604-E1604</f>
        <v/>
      </c>
      <c r="H1604" s="7" t="n">
        <v>40.95</v>
      </c>
      <c r="I1604" s="7">
        <f>G1604*H1604</f>
        <v/>
      </c>
      <c r="J1604" s="16" t="inlineStr">
        <is>
          <t>لم يُجرد</t>
        </is>
      </c>
      <c r="K1604" s="14" t="n">
        <v>0</v>
      </c>
      <c r="L1604" s="14" t="n">
        <v>5</v>
      </c>
      <c r="M1604" s="5" t="inlineStr"/>
      <c r="N1604" s="5" t="inlineStr"/>
    </row>
    <row r="1605">
      <c r="A1605" s="13" t="inlineStr">
        <is>
          <t>0008853</t>
        </is>
      </c>
      <c r="B1605" s="5" t="inlineStr">
        <is>
          <t>[0008853] NBF GINGIVAL GEL 30G</t>
        </is>
      </c>
      <c r="C1605" s="5" t="inlineStr">
        <is>
          <t>دواء</t>
        </is>
      </c>
      <c r="D1605" s="13" t="inlineStr">
        <is>
          <t>8809130161184</t>
        </is>
      </c>
      <c r="E1605" s="14">
        <f>L1605-K1605</f>
        <v/>
      </c>
      <c r="F1605" s="14" t="n">
        <v>0</v>
      </c>
      <c r="G1605" s="14">
        <f>F1605-E1605</f>
        <v/>
      </c>
      <c r="H1605" s="7" t="n">
        <v>44</v>
      </c>
      <c r="I1605" s="7">
        <f>G1605*H1605</f>
        <v/>
      </c>
      <c r="J1605" s="16" t="inlineStr">
        <is>
          <t>لم يُجرد</t>
        </is>
      </c>
      <c r="K1605" s="14" t="n">
        <v>0</v>
      </c>
      <c r="L1605" s="14" t="n">
        <v>2</v>
      </c>
      <c r="M1605" s="5" t="inlineStr"/>
      <c r="N1605" s="5" t="inlineStr"/>
    </row>
    <row r="1606">
      <c r="A1606" s="13" t="inlineStr">
        <is>
          <t>0005454</t>
        </is>
      </c>
      <c r="B1606" s="5" t="inlineStr">
        <is>
          <t>[0005454] NIZORAL SHAMPOO 100ML</t>
        </is>
      </c>
      <c r="C1606" s="5" t="inlineStr">
        <is>
          <t>دواء</t>
        </is>
      </c>
      <c r="D1606" s="13" t="inlineStr">
        <is>
          <t>06297000859002</t>
        </is>
      </c>
      <c r="E1606" s="14">
        <f>L1606-K1606</f>
        <v/>
      </c>
      <c r="F1606" s="14" t="n">
        <v>31</v>
      </c>
      <c r="G1606" s="14">
        <f>F1606-E1606</f>
        <v/>
      </c>
      <c r="H1606" s="7" t="n">
        <v>30.55</v>
      </c>
      <c r="I1606" s="7">
        <f>G1606*H1606</f>
        <v/>
      </c>
      <c r="J1606" s="17" t="inlineStr">
        <is>
          <t>مطابق</t>
        </is>
      </c>
      <c r="K1606" s="14" t="n">
        <v>-1</v>
      </c>
      <c r="L1606" s="14" t="n">
        <v>30</v>
      </c>
      <c r="M1606" s="5" t="inlineStr">
        <is>
          <t>بعد العد: مبيعات −1</t>
        </is>
      </c>
      <c r="N1606" s="5" t="inlineStr"/>
    </row>
  </sheetData>
  <autoFilter ref="A1:N16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24" customWidth="1" min="4" max="4"/>
  </cols>
  <sheetData>
    <row r="1" ht="30" customHeight="1">
      <c r="A1" s="4" t="inlineStr">
        <is>
          <t>الباركود</t>
        </is>
      </c>
      <c r="B1" s="4" t="inlineStr">
        <is>
          <t>الكمية</t>
        </is>
      </c>
      <c r="C1" s="4" t="inlineStr">
        <is>
          <t>أول مسح</t>
        </is>
      </c>
      <c r="D1" s="4" t="inlineStr">
        <is>
          <t>المواقع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40" customWidth="1" min="5" max="5"/>
    <col width="10" customWidth="1" min="6" max="6"/>
    <col width="22" customWidth="1" min="7" max="7"/>
    <col width="16" customWidth="1" min="8" max="8"/>
    <col width="18" customWidth="1" min="9" max="9"/>
  </cols>
  <sheetData>
    <row r="1" ht="30" customHeight="1">
      <c r="A1" s="4" t="inlineStr">
        <is>
          <t>#</t>
        </is>
      </c>
      <c r="B1" s="4" t="inlineStr">
        <is>
          <t>الوقت</t>
        </is>
      </c>
      <c r="C1" s="4" t="inlineStr">
        <is>
          <t>الباركود</t>
        </is>
      </c>
      <c r="D1" s="4" t="inlineStr">
        <is>
          <t>الكود</t>
        </is>
      </c>
      <c r="E1" s="4" t="inlineStr">
        <is>
          <t>الصنف</t>
        </is>
      </c>
      <c r="F1" s="4" t="inlineStr">
        <is>
          <t>الكمية</t>
        </is>
      </c>
      <c r="G1" s="4" t="inlineStr">
        <is>
          <t>النوع</t>
        </is>
      </c>
      <c r="H1" s="4" t="inlineStr">
        <is>
          <t>الموقع</t>
        </is>
      </c>
      <c r="I1" s="4" t="inlineStr">
        <is>
          <t>القائم بالجرد</t>
        </is>
      </c>
    </row>
    <row r="2">
      <c r="A2" s="18" t="n">
        <v>1</v>
      </c>
      <c r="B2" s="18" t="inlineStr">
        <is>
          <t>2026-10-06 03:17</t>
        </is>
      </c>
      <c r="C2" s="13" t="inlineStr">
        <is>
          <t>0005454</t>
        </is>
      </c>
      <c r="D2" s="18" t="inlineStr">
        <is>
          <t>0005454</t>
        </is>
      </c>
      <c r="E2" s="5" t="inlineStr">
        <is>
          <t>[0005454] NIZORAL SHAMPOO 100ML</t>
        </is>
      </c>
      <c r="F2" s="14" t="n">
        <v>31</v>
      </c>
      <c r="G2" s="18" t="inlineStr">
        <is>
          <t>مسح</t>
        </is>
      </c>
      <c r="H2" s="18" t="inlineStr"/>
      <c r="I2" s="18" t="inlineStr">
        <is>
          <t>يحى زقزوق</t>
        </is>
      </c>
    </row>
    <row r="3">
      <c r="A3" s="18" t="n">
        <v>2</v>
      </c>
      <c r="B3" s="18" t="inlineStr">
        <is>
          <t>2026-10-06 03:22</t>
        </is>
      </c>
      <c r="C3" s="13" t="inlineStr">
        <is>
          <t>0003663</t>
        </is>
      </c>
      <c r="D3" s="18" t="inlineStr">
        <is>
          <t>0003663</t>
        </is>
      </c>
      <c r="E3" s="5" t="inlineStr">
        <is>
          <t>[0003663] FLUDREX 24 TAB</t>
        </is>
      </c>
      <c r="F3" s="14" t="n">
        <v>100</v>
      </c>
      <c r="G3" s="18" t="inlineStr">
        <is>
          <t>مسح</t>
        </is>
      </c>
      <c r="H3" s="18" t="inlineStr"/>
      <c r="I3" s="18" t="inlineStr">
        <is>
          <t>يحى زقزوق</t>
        </is>
      </c>
    </row>
    <row r="4">
      <c r="A4" s="18" t="n">
        <v>3</v>
      </c>
      <c r="B4" s="18" t="inlineStr">
        <is>
          <t>2026-10-06 03:23</t>
        </is>
      </c>
      <c r="C4" s="13" t="inlineStr">
        <is>
          <t>0003663</t>
        </is>
      </c>
      <c r="D4" s="18" t="inlineStr">
        <is>
          <t>0003663</t>
        </is>
      </c>
      <c r="E4" s="5" t="inlineStr">
        <is>
          <t>[0003663] FLUDREX 24 TAB</t>
        </is>
      </c>
      <c r="F4" s="14" t="n">
        <v>32</v>
      </c>
      <c r="G4" s="18" t="inlineStr">
        <is>
          <t>مسح</t>
        </is>
      </c>
      <c r="H4" s="18" t="inlineStr">
        <is>
          <t>رف 4</t>
        </is>
      </c>
      <c r="I4" s="18" t="inlineStr">
        <is>
          <t>يحى زقزوق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2026-10-06T00:25:25Z</dcterms:created>
  <dcterms:modified xsi:type="dcterms:W3CDTF">2026-10-06T00:25:30Z</dcterms:modified>
</cp:coreProperties>
</file>